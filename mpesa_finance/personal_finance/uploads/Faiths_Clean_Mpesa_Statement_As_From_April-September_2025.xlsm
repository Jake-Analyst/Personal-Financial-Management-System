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hidePivotFieldList="1" defaultThemeVersion="166925"/>
  <mc:AlternateContent xmlns:mc="http://schemas.openxmlformats.org/markup-compatibility/2006">
    <mc:Choice Requires="x15">
      <x15ac:absPath xmlns:x15ac="http://schemas.microsoft.com/office/spreadsheetml/2010/11/ac" url="C:\Users\Egertech\Desktop\USB backup\My Excel Projects\"/>
    </mc:Choice>
  </mc:AlternateContent>
  <xr:revisionPtr revIDLastSave="0" documentId="13_ncr:1_{8E4F58C4-36EB-4D66-BE04-49E5E170E5E0}" xr6:coauthVersionLast="47" xr6:coauthVersionMax="47" xr10:uidLastSave="{00000000-0000-0000-0000-000000000000}"/>
  <bookViews>
    <workbookView xWindow="-120" yWindow="-120" windowWidth="20730" windowHeight="11310" xr2:uid="{BE0080A1-2C3B-4D27-A177-AE50A840E87F}"/>
  </bookViews>
  <sheets>
    <sheet name="Clean Data" sheetId="12" r:id="rId1"/>
    <sheet name="Pivot" sheetId="3" r:id="rId2"/>
    <sheet name="Dashboard" sheetId="4" r:id="rId3"/>
    <sheet name="Messy Data" sheetId="6" r:id="rId4"/>
  </sheets>
  <definedNames>
    <definedName name="ExternalData_1" localSheetId="3" hidden="1">'Messy Data'!$A$1:$F$260</definedName>
    <definedName name="ExternalData_4" localSheetId="0" hidden="1">'Clean Data'!$A$1:$I$260</definedName>
    <definedName name="Slicer_Month">#N/A</definedName>
    <definedName name="Slicer_Weekday">#N/A</definedName>
  </definedNames>
  <calcPr calcId="191029" calcMode="manual"/>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60" i="6" l="1"/>
  <c r="G260" i="6"/>
  <c r="H259" i="6"/>
  <c r="G259" i="6"/>
  <c r="H258" i="6"/>
  <c r="G258" i="6"/>
  <c r="H257" i="6"/>
  <c r="G257" i="6"/>
  <c r="H256" i="6"/>
  <c r="G256" i="6"/>
  <c r="H255" i="6"/>
  <c r="G255" i="6"/>
  <c r="H254" i="6"/>
  <c r="G254" i="6"/>
  <c r="H253" i="6"/>
  <c r="G253" i="6"/>
  <c r="H252" i="6"/>
  <c r="G252" i="6"/>
  <c r="H251" i="6"/>
  <c r="G251" i="6"/>
  <c r="H250" i="6"/>
  <c r="G250" i="6"/>
  <c r="H249" i="6"/>
  <c r="G249" i="6"/>
  <c r="H248" i="6"/>
  <c r="G248" i="6"/>
  <c r="H247" i="6"/>
  <c r="G247" i="6"/>
  <c r="H246" i="6"/>
  <c r="G246" i="6"/>
  <c r="H245" i="6"/>
  <c r="G245" i="6"/>
  <c r="H244" i="6"/>
  <c r="G244" i="6"/>
  <c r="H243" i="6"/>
  <c r="G243" i="6"/>
  <c r="H242" i="6"/>
  <c r="G242" i="6"/>
  <c r="H241" i="6"/>
  <c r="G241" i="6"/>
  <c r="H240" i="6"/>
  <c r="G240" i="6"/>
  <c r="H239" i="6"/>
  <c r="G239" i="6"/>
  <c r="H238" i="6"/>
  <c r="G238" i="6"/>
  <c r="H237" i="6"/>
  <c r="G237" i="6"/>
  <c r="H236" i="6"/>
  <c r="G236" i="6"/>
  <c r="H235" i="6"/>
  <c r="G235" i="6"/>
  <c r="H234" i="6"/>
  <c r="G234" i="6"/>
  <c r="H233" i="6"/>
  <c r="G233" i="6"/>
  <c r="H232" i="6"/>
  <c r="G232" i="6"/>
  <c r="H231" i="6"/>
  <c r="G231" i="6"/>
  <c r="H230" i="6"/>
  <c r="G230" i="6"/>
  <c r="H229" i="6"/>
  <c r="G229" i="6"/>
  <c r="H228" i="6"/>
  <c r="G228" i="6"/>
  <c r="H227" i="6"/>
  <c r="G227" i="6"/>
  <c r="H226" i="6"/>
  <c r="G226" i="6"/>
  <c r="H225" i="6"/>
  <c r="G225" i="6"/>
  <c r="H224" i="6"/>
  <c r="G224" i="6"/>
  <c r="H223" i="6"/>
  <c r="G223" i="6"/>
  <c r="H222" i="6"/>
  <c r="G222" i="6"/>
  <c r="H221" i="6"/>
  <c r="G221" i="6"/>
  <c r="H220" i="6"/>
  <c r="G220" i="6"/>
  <c r="H219" i="6"/>
  <c r="G219" i="6"/>
  <c r="H218" i="6"/>
  <c r="G218" i="6"/>
  <c r="H217" i="6"/>
  <c r="G217" i="6"/>
  <c r="H216" i="6"/>
  <c r="G216" i="6"/>
  <c r="H215" i="6"/>
  <c r="G215" i="6"/>
  <c r="H214" i="6"/>
  <c r="G214" i="6"/>
  <c r="H213" i="6"/>
  <c r="G213" i="6"/>
  <c r="H212" i="6"/>
  <c r="G212" i="6"/>
  <c r="H211" i="6"/>
  <c r="G211" i="6"/>
  <c r="H210" i="6"/>
  <c r="G210" i="6"/>
  <c r="H209" i="6"/>
  <c r="G209" i="6"/>
  <c r="H208" i="6"/>
  <c r="G208" i="6"/>
  <c r="H207" i="6"/>
  <c r="G207" i="6"/>
  <c r="H206" i="6"/>
  <c r="G206" i="6"/>
  <c r="H205" i="6"/>
  <c r="G205" i="6"/>
  <c r="H204" i="6"/>
  <c r="G204" i="6"/>
  <c r="H203" i="6"/>
  <c r="G203" i="6"/>
  <c r="H202" i="6"/>
  <c r="G202" i="6"/>
  <c r="H201" i="6"/>
  <c r="G201" i="6"/>
  <c r="H200" i="6"/>
  <c r="G200" i="6"/>
  <c r="H199" i="6"/>
  <c r="G199" i="6"/>
  <c r="H198" i="6"/>
  <c r="G198" i="6"/>
  <c r="H197" i="6"/>
  <c r="G197" i="6"/>
  <c r="H196" i="6"/>
  <c r="G196" i="6"/>
  <c r="H195" i="6"/>
  <c r="G195" i="6"/>
  <c r="H194" i="6"/>
  <c r="G194" i="6"/>
  <c r="H193" i="6"/>
  <c r="G193" i="6"/>
  <c r="H192" i="6"/>
  <c r="G192" i="6"/>
  <c r="H191" i="6"/>
  <c r="G191" i="6"/>
  <c r="H190" i="6"/>
  <c r="G190" i="6"/>
  <c r="H189" i="6"/>
  <c r="G189" i="6"/>
  <c r="H188" i="6"/>
  <c r="G188" i="6"/>
  <c r="H187" i="6"/>
  <c r="G187" i="6"/>
  <c r="H186" i="6"/>
  <c r="G186" i="6"/>
  <c r="H185" i="6"/>
  <c r="G185" i="6"/>
  <c r="H184" i="6"/>
  <c r="G184" i="6"/>
  <c r="H183" i="6"/>
  <c r="G183" i="6"/>
  <c r="H182" i="6"/>
  <c r="G182" i="6"/>
  <c r="H181" i="6"/>
  <c r="G181" i="6"/>
  <c r="H180" i="6"/>
  <c r="G180" i="6"/>
  <c r="H179" i="6"/>
  <c r="G179" i="6"/>
  <c r="H178" i="6"/>
  <c r="G178" i="6"/>
  <c r="H177" i="6"/>
  <c r="G177" i="6"/>
  <c r="H176" i="6"/>
  <c r="G176" i="6"/>
  <c r="H175" i="6"/>
  <c r="G175" i="6"/>
  <c r="H174" i="6"/>
  <c r="G174" i="6"/>
  <c r="H173" i="6"/>
  <c r="G173" i="6"/>
  <c r="H172" i="6"/>
  <c r="G172" i="6"/>
  <c r="H171" i="6"/>
  <c r="G171" i="6"/>
  <c r="H170" i="6"/>
  <c r="G170" i="6"/>
  <c r="H169" i="6"/>
  <c r="G169" i="6"/>
  <c r="H168" i="6"/>
  <c r="G168" i="6"/>
  <c r="H167" i="6"/>
  <c r="G167" i="6"/>
  <c r="H166" i="6"/>
  <c r="G166" i="6"/>
  <c r="H165" i="6"/>
  <c r="G165" i="6"/>
  <c r="H164" i="6"/>
  <c r="G164" i="6"/>
  <c r="H163" i="6"/>
  <c r="G163" i="6"/>
  <c r="H162" i="6"/>
  <c r="G162" i="6"/>
  <c r="H161" i="6"/>
  <c r="G161" i="6"/>
  <c r="H160" i="6"/>
  <c r="G160" i="6"/>
  <c r="H159" i="6"/>
  <c r="G159" i="6"/>
  <c r="H158" i="6"/>
  <c r="G158" i="6"/>
  <c r="H157" i="6"/>
  <c r="G157" i="6"/>
  <c r="H156" i="6"/>
  <c r="G156" i="6"/>
  <c r="H155" i="6"/>
  <c r="G155" i="6"/>
  <c r="H154" i="6"/>
  <c r="G154" i="6"/>
  <c r="H153" i="6"/>
  <c r="G153" i="6"/>
  <c r="H152" i="6"/>
  <c r="G152" i="6"/>
  <c r="H151" i="6"/>
  <c r="G151" i="6"/>
  <c r="H150" i="6"/>
  <c r="G150" i="6"/>
  <c r="H149" i="6"/>
  <c r="G149" i="6"/>
  <c r="H148" i="6"/>
  <c r="G148" i="6"/>
  <c r="H147" i="6"/>
  <c r="G147" i="6"/>
  <c r="H146" i="6"/>
  <c r="G146" i="6"/>
  <c r="H145" i="6"/>
  <c r="G145" i="6"/>
  <c r="H144" i="6"/>
  <c r="G144" i="6"/>
  <c r="H143" i="6"/>
  <c r="G143" i="6"/>
  <c r="H142" i="6"/>
  <c r="G142" i="6"/>
  <c r="H141" i="6"/>
  <c r="G141" i="6"/>
  <c r="H140" i="6"/>
  <c r="G140" i="6"/>
  <c r="H139" i="6"/>
  <c r="G139" i="6"/>
  <c r="H138" i="6"/>
  <c r="G138" i="6"/>
  <c r="H137" i="6"/>
  <c r="G137" i="6"/>
  <c r="H136" i="6"/>
  <c r="G136" i="6"/>
  <c r="H135" i="6"/>
  <c r="G135" i="6"/>
  <c r="H134" i="6"/>
  <c r="G134" i="6"/>
  <c r="H133" i="6"/>
  <c r="G133" i="6"/>
  <c r="H132" i="6"/>
  <c r="G132" i="6"/>
  <c r="H131" i="6"/>
  <c r="G131" i="6"/>
  <c r="H130" i="6"/>
  <c r="G130" i="6"/>
  <c r="H129" i="6"/>
  <c r="G129" i="6"/>
  <c r="H128" i="6"/>
  <c r="G128" i="6"/>
  <c r="H127" i="6"/>
  <c r="G127" i="6"/>
  <c r="H126" i="6"/>
  <c r="G126" i="6"/>
  <c r="H125" i="6"/>
  <c r="G125" i="6"/>
  <c r="H124" i="6"/>
  <c r="G124" i="6"/>
  <c r="H123" i="6"/>
  <c r="G123" i="6"/>
  <c r="H122" i="6"/>
  <c r="G122" i="6"/>
  <c r="H121" i="6"/>
  <c r="G121" i="6"/>
  <c r="H120" i="6"/>
  <c r="G120" i="6"/>
  <c r="H119" i="6"/>
  <c r="G119" i="6"/>
  <c r="H118" i="6"/>
  <c r="G118" i="6"/>
  <c r="H117" i="6"/>
  <c r="G117" i="6"/>
  <c r="H116" i="6"/>
  <c r="G116" i="6"/>
  <c r="H115" i="6"/>
  <c r="G115" i="6"/>
  <c r="H114" i="6"/>
  <c r="G114" i="6"/>
  <c r="H113" i="6"/>
  <c r="G113" i="6"/>
  <c r="H112" i="6"/>
  <c r="G112" i="6"/>
  <c r="H111" i="6"/>
  <c r="G111" i="6"/>
  <c r="H110" i="6"/>
  <c r="G110" i="6"/>
  <c r="H109" i="6"/>
  <c r="G109" i="6"/>
  <c r="H108" i="6"/>
  <c r="G108" i="6"/>
  <c r="H107" i="6"/>
  <c r="G107" i="6"/>
  <c r="H106" i="6"/>
  <c r="G106" i="6"/>
  <c r="H105" i="6"/>
  <c r="G105" i="6"/>
  <c r="H104" i="6"/>
  <c r="G104" i="6"/>
  <c r="H103" i="6"/>
  <c r="G103" i="6"/>
  <c r="H102" i="6"/>
  <c r="G102" i="6"/>
  <c r="H101" i="6"/>
  <c r="G101" i="6"/>
  <c r="H100" i="6"/>
  <c r="G100" i="6"/>
  <c r="H99" i="6"/>
  <c r="G99" i="6"/>
  <c r="H98" i="6"/>
  <c r="G98" i="6"/>
  <c r="H97" i="6"/>
  <c r="G97" i="6"/>
  <c r="H96" i="6"/>
  <c r="G96" i="6"/>
  <c r="H95" i="6"/>
  <c r="G95" i="6"/>
  <c r="H94" i="6"/>
  <c r="G94" i="6"/>
  <c r="H93" i="6"/>
  <c r="G93" i="6"/>
  <c r="H92" i="6"/>
  <c r="G92" i="6"/>
  <c r="H91" i="6"/>
  <c r="G91" i="6"/>
  <c r="H90" i="6"/>
  <c r="G90" i="6"/>
  <c r="H89" i="6"/>
  <c r="G89" i="6"/>
  <c r="H88" i="6"/>
  <c r="G88" i="6"/>
  <c r="H87" i="6"/>
  <c r="G87" i="6"/>
  <c r="H86" i="6"/>
  <c r="G86" i="6"/>
  <c r="H85" i="6"/>
  <c r="G85" i="6"/>
  <c r="H84" i="6"/>
  <c r="G84" i="6"/>
  <c r="H83" i="6"/>
  <c r="G83" i="6"/>
  <c r="H82" i="6"/>
  <c r="G82" i="6"/>
  <c r="H81" i="6"/>
  <c r="G81" i="6"/>
  <c r="H80" i="6"/>
  <c r="G80" i="6"/>
  <c r="H79" i="6"/>
  <c r="G79" i="6"/>
  <c r="H78" i="6"/>
  <c r="G78" i="6"/>
  <c r="H77" i="6"/>
  <c r="G77" i="6"/>
  <c r="H76" i="6"/>
  <c r="G76" i="6"/>
  <c r="H75" i="6"/>
  <c r="G75" i="6"/>
  <c r="H74" i="6"/>
  <c r="G74" i="6"/>
  <c r="H73" i="6"/>
  <c r="G73" i="6"/>
  <c r="H72" i="6"/>
  <c r="G72" i="6"/>
  <c r="H71" i="6"/>
  <c r="G71" i="6"/>
  <c r="H70" i="6"/>
  <c r="G70" i="6"/>
  <c r="H69" i="6"/>
  <c r="G69" i="6"/>
  <c r="H68" i="6"/>
  <c r="G68" i="6"/>
  <c r="H67" i="6"/>
  <c r="G67" i="6"/>
  <c r="H66" i="6"/>
  <c r="G66" i="6"/>
  <c r="H65" i="6"/>
  <c r="G65" i="6"/>
  <c r="H64" i="6"/>
  <c r="G64" i="6"/>
  <c r="H63" i="6"/>
  <c r="G63" i="6"/>
  <c r="H62" i="6"/>
  <c r="G62" i="6"/>
  <c r="H61" i="6"/>
  <c r="G61" i="6"/>
  <c r="H60" i="6"/>
  <c r="G60" i="6"/>
  <c r="H59" i="6"/>
  <c r="G59" i="6"/>
  <c r="H58" i="6"/>
  <c r="G58" i="6"/>
  <c r="H57" i="6"/>
  <c r="G57" i="6"/>
  <c r="H56" i="6"/>
  <c r="G56" i="6"/>
  <c r="H55" i="6"/>
  <c r="G55" i="6"/>
  <c r="H54" i="6"/>
  <c r="G54" i="6"/>
  <c r="H53" i="6"/>
  <c r="G53" i="6"/>
  <c r="H52" i="6"/>
  <c r="G52" i="6"/>
  <c r="H51" i="6"/>
  <c r="G51" i="6"/>
  <c r="H50" i="6"/>
  <c r="G50" i="6"/>
  <c r="H49" i="6"/>
  <c r="G49" i="6"/>
  <c r="H48" i="6"/>
  <c r="G48" i="6"/>
  <c r="H47" i="6"/>
  <c r="G47" i="6"/>
  <c r="H46" i="6"/>
  <c r="G46" i="6"/>
  <c r="H45" i="6"/>
  <c r="G45" i="6"/>
  <c r="H44" i="6"/>
  <c r="G44" i="6"/>
  <c r="H43" i="6"/>
  <c r="G43" i="6"/>
  <c r="H42" i="6"/>
  <c r="G42" i="6"/>
  <c r="H41" i="6"/>
  <c r="G41" i="6"/>
  <c r="H40" i="6"/>
  <c r="G40" i="6"/>
  <c r="H39" i="6"/>
  <c r="G39" i="6"/>
  <c r="H38" i="6"/>
  <c r="G38" i="6"/>
  <c r="H37" i="6"/>
  <c r="G37" i="6"/>
  <c r="H36" i="6"/>
  <c r="G36" i="6"/>
  <c r="H35" i="6"/>
  <c r="G35" i="6"/>
  <c r="H34" i="6"/>
  <c r="G34" i="6"/>
  <c r="H33" i="6"/>
  <c r="G33" i="6"/>
  <c r="H32" i="6"/>
  <c r="G32" i="6"/>
  <c r="H31" i="6"/>
  <c r="G31" i="6"/>
  <c r="H30" i="6"/>
  <c r="G30" i="6"/>
  <c r="H29" i="6"/>
  <c r="G29" i="6"/>
  <c r="H28" i="6"/>
  <c r="G28" i="6"/>
  <c r="H27" i="6"/>
  <c r="G27" i="6"/>
  <c r="H26" i="6"/>
  <c r="G26" i="6"/>
  <c r="H25" i="6"/>
  <c r="G25" i="6"/>
  <c r="H24" i="6"/>
  <c r="G24" i="6"/>
  <c r="H23" i="6"/>
  <c r="G23" i="6"/>
  <c r="H22" i="6"/>
  <c r="G22" i="6"/>
  <c r="H21" i="6"/>
  <c r="G21" i="6"/>
  <c r="H20" i="6"/>
  <c r="G20" i="6"/>
  <c r="H19" i="6"/>
  <c r="G19" i="6"/>
  <c r="H18" i="6"/>
  <c r="G18" i="6"/>
  <c r="H17" i="6"/>
  <c r="G17" i="6"/>
  <c r="H16" i="6"/>
  <c r="G16" i="6"/>
  <c r="H15" i="6"/>
  <c r="G15" i="6"/>
  <c r="H14" i="6"/>
  <c r="G14" i="6"/>
  <c r="H13" i="6"/>
  <c r="G13" i="6"/>
  <c r="H12" i="6"/>
  <c r="G12" i="6"/>
  <c r="H11" i="6"/>
  <c r="G11" i="6"/>
  <c r="H10" i="6"/>
  <c r="G10" i="6"/>
  <c r="H9" i="6"/>
  <c r="G9" i="6"/>
  <c r="H8" i="6"/>
  <c r="G8" i="6"/>
  <c r="H7" i="6"/>
  <c r="G7" i="6"/>
  <c r="H6" i="6"/>
  <c r="G6" i="6"/>
  <c r="H5" i="6"/>
  <c r="G5" i="6"/>
  <c r="H4" i="6"/>
  <c r="G4" i="6"/>
  <c r="H3" i="6"/>
  <c r="G3" i="6"/>
  <c r="H2" i="6"/>
  <c r="G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BFC815-32AF-4F13-A437-064002A7E87A}" keepAlive="1" name="Query - Table003 (Page 1-9)" description="Connection to the 'Table003 (Page 1-9)' query in the workbook." type="5" refreshedVersion="7" background="1" saveData="1">
    <dbPr connection="Provider=Microsoft.Mashup.OleDb.1;Data Source=$Workbook$;Location=&quot;Table003 (Page 1-9)&quot;;Extended Properties=&quot;&quot;" command="SELECT * FROM [Table003 (Page 1-9)]"/>
  </connection>
  <connection id="2" xr16:uid="{D23BE2C9-66C7-43D0-B150-AD28DBA788A1}" keepAlive="1" name="Query - Table003 (Page 1-9) (2)" description="Connection to the 'Table003 (Page 1-9) (2)' query in the workbook." type="5" refreshedVersion="7" background="1" saveData="1">
    <dbPr connection="Provider=Microsoft.Mashup.OleDb.1;Data Source=$Workbook$;Location=&quot;Table003 (Page 1-9) (2)&quot;;Extended Properties=&quot;&quot;" command="SELECT * FROM [Table003 (Page 1-9) (2)]"/>
  </connection>
  <connection id="3" xr16:uid="{16CB250A-372D-43E0-BB3F-02F9B967819B}" keepAlive="1" name="Query - Table003 (Page 1-9) (3)" description="Connection to the 'Table003 (Page 1-9) (3)' query in the workbook." type="5" refreshedVersion="7" background="1" saveData="1">
    <dbPr connection="Provider=Microsoft.Mashup.OleDb.1;Data Source=$Workbook$;Location=&quot;Table003 (Page 1-9) (3)&quot;;Extended Properties=&quot;&quot;" command="SELECT * FROM [Table003 (Page 1-9) (3)]"/>
  </connection>
  <connection id="4" xr16:uid="{2697B0FB-5630-498E-BF01-A67D615B9810}" keepAlive="1" name="Query - Table003__Page_1_9" description="Connection to the 'Table003__Page_1_9' query in the workbook." type="5" refreshedVersion="0" background="1">
    <dbPr connection="Provider=Microsoft.Mashup.OleDb.1;Data Source=$Workbook$;Location=Table003__Page_1_9;Extended Properties=&quot;&quot;" command="SELECT * FROM [Table003__Page_1_9]"/>
  </connection>
  <connection id="5" xr16:uid="{1424C55D-7E33-4E95-80E4-AF182C299A99}" keepAlive="1" name="Query - Table003__Page_1_935" description="Connection to the 'Table003__Page_1_935' query in the workbook." type="5" refreshedVersion="0" background="1">
    <dbPr connection="Provider=Microsoft.Mashup.OleDb.1;Data Source=$Workbook$;Location=Table003__Page_1_935;Extended Properties=&quot;&quot;" command="SELECT * FROM [Table003__Page_1_935]"/>
  </connection>
  <connection id="6" xr16:uid="{F54C4FA2-37EA-4688-B2F3-6B8AFC11A561}" keepAlive="1" name="Query - Table003__Page_1_935 (2)" description="Connection to the 'Table003__Page_1_935 (2)' query in the workbook." type="5" refreshedVersion="0" background="1">
    <dbPr connection="Provider=Microsoft.Mashup.OleDb.1;Data Source=$Workbook$;Location=&quot;Table003__Page_1_935 (2)&quot;;Extended Properties=&quot;&quot;" command="SELECT * FROM [Table003__Page_1_935 (2)]"/>
  </connection>
  <connection id="7" xr16:uid="{C3943865-EEFB-46ED-AA93-FD9CAF30C2A7}" keepAlive="1" name="Query - Table003__Page_1_935__2" description="Connection to the 'Table003__Page_1_935__2' query in the workbook." type="5" refreshedVersion="0" background="1">
    <dbPr connection="Provider=Microsoft.Mashup.OleDb.1;Data Source=$Workbook$;Location=Table003__Page_1_935__2;Extended Properties=&quot;&quot;" command="SELECT * FROM [Table003__Page_1_935__2]"/>
  </connection>
  <connection id="8" xr16:uid="{E599F487-2BF7-415D-B2CF-CB4D4DCE6E7C}" keepAlive="1" name="Query - Table003__Page_1_935__2_1" description="Connection to the 'Table003__Page_1_935__2_1' query in the workbook." type="5" refreshedVersion="8" background="1" saveData="1">
    <dbPr connection="Provider=Microsoft.Mashup.OleDb.1;Data Source=$Workbook$;Location=Table003__Page_1_935__2_1;Extended Properties=&quot;&quot;" command="SELECT * FROM [Table003__Page_1_935__2_1]"/>
  </connection>
</connections>
</file>

<file path=xl/sharedStrings.xml><?xml version="1.0" encoding="utf-8"?>
<sst xmlns="http://schemas.openxmlformats.org/spreadsheetml/2006/main" count="1916" uniqueCount="417">
  <si>
    <t>Receipt No</t>
  </si>
  <si>
    <t>Transaction Completion Time</t>
  </si>
  <si>
    <t>Details</t>
  </si>
  <si>
    <t>Amount Received to Mpesa</t>
  </si>
  <si>
    <t>Amount Sent to Others</t>
  </si>
  <si>
    <t>Mpesa Balance</t>
  </si>
  <si>
    <t>TI241QJH4M</t>
  </si>
  <si>
    <t>Customer Payment to Small Business to
0701***917 - francis karahi rovega</t>
  </si>
  <si>
    <t>TI221GK10Y</t>
  </si>
  <si>
    <t>Pay Bill Charge</t>
  </si>
  <si>
    <t>Pay Bill Online to 4076749 - TINGG Acc.
0732***250 incl of Ksh 1.00 Processing fee</t>
  </si>
  <si>
    <t>TI15WUWSPN</t>
  </si>
  <si>
    <t>Funds received from 254714***670 -Joseph gitonga M'birithia</t>
  </si>
  <si>
    <t>TI12WCCVTG</t>
  </si>
  <si>
    <t>Customer Payment to Small Business to
254721***731 - RAHAB WAMBUI
KIRUNYU</t>
  </si>
  <si>
    <t>TI15WBC00F</t>
  </si>
  <si>
    <t>Merchant Payment to 7284452 - Rebecca
Wambui Njau</t>
  </si>
  <si>
    <t>TI11W9M3EB</t>
  </si>
  <si>
    <t>Customer Payment to Small Business to
0725***923 - Josphine Kamonya Mwanzi</t>
  </si>
  <si>
    <t>TI15W9IFVZ</t>
  </si>
  <si>
    <t>TI14W9B5A2</t>
  </si>
  <si>
    <t>Customer Transfer of Funds Charge</t>
  </si>
  <si>
    <t>TI14W0I496</t>
  </si>
  <si>
    <t>Customer Transfer to 0706***380 - FAITH
SEITA SAIKITA</t>
  </si>
  <si>
    <t>TI13VWDPU7</t>
  </si>
  <si>
    <t>Funds received from 254712***129 -JOSEPH GITONGA</t>
  </si>
  <si>
    <t>THO3S60K95</t>
  </si>
  <si>
    <t>Pay Bill Online to 4096963 - TRUTH
WIRELESS LIMITED Acc. TR19685</t>
  </si>
  <si>
    <t>THN7MZS3G3</t>
  </si>
  <si>
    <t>THM8HQMLHK</t>
  </si>
  <si>
    <t>THM7F0SSFV</t>
  </si>
  <si>
    <t>Customer Transfer to 0793***735 - Jacob
muuo matata</t>
  </si>
  <si>
    <t>THM3F08EO7</t>
  </si>
  <si>
    <t>THL1CIQFXR</t>
  </si>
  <si>
    <t>THL1AVX6SD</t>
  </si>
  <si>
    <t>THL7AVL73Z</t>
  </si>
  <si>
    <t>THL1AUXIZZ</t>
  </si>
  <si>
    <t>Merchant Payment to 7486510 - PHYLIS
WANJIRU MBUTHIA</t>
  </si>
  <si>
    <t>THL19NM7OV</t>
  </si>
  <si>
    <t>THK28ATD4S</t>
  </si>
  <si>
    <t>THK28A7PCU</t>
  </si>
  <si>
    <t>THK485V2N0</t>
  </si>
  <si>
    <t>THK863CH3W</t>
  </si>
  <si>
    <t>THK662X3BQ</t>
  </si>
  <si>
    <t>Funds received from 0793***735 - Jacob
muuo matata</t>
  </si>
  <si>
    <t>THJ92PAXCH</t>
  </si>
  <si>
    <t>Merchant Payment to 7376529 - Eric
Kimathi Muthuri</t>
  </si>
  <si>
    <t>THJ1ZS4ALN</t>
  </si>
  <si>
    <t>Customer Transfer to 254701***163 - Sarah
Wanjiru Ndungu</t>
  </si>
  <si>
    <t>THJ4YZ8H8M</t>
  </si>
  <si>
    <t>THJ5YKMZKJ</t>
  </si>
  <si>
    <t>THI5X5JJGX</t>
  </si>
  <si>
    <t>Funds received from 0701***640 -JOSEPHINE NDINDA MUIA</t>
  </si>
  <si>
    <t>THI8WTN2MA</t>
  </si>
  <si>
    <t>THI6TXFIMO</t>
  </si>
  <si>
    <t>THH2T6UT6M</t>
  </si>
  <si>
    <t>THH6SX37MS</t>
  </si>
  <si>
    <t>THH8PAIXH0</t>
  </si>
  <si>
    <t>THG5OL4E43</t>
  </si>
  <si>
    <t>THG9NDXF9B</t>
  </si>
  <si>
    <t>THG7MKO7Q3</t>
  </si>
  <si>
    <t>THG6LVTLRC</t>
  </si>
  <si>
    <t>THG3KY779V</t>
  </si>
  <si>
    <t>THG7KIUG03</t>
  </si>
  <si>
    <t>THF6HMOHTW</t>
  </si>
  <si>
    <t>THF6H8IC9M</t>
  </si>
  <si>
    <t>Pay Bill Online to 4077063 - TINGG Acc.
0782***028 incl of Ksh 1.00 Processing fee</t>
  </si>
  <si>
    <t>THF8GXSMTU</t>
  </si>
  <si>
    <t>THF6GX3VHG</t>
  </si>
  <si>
    <t>THF6GWV7QO</t>
  </si>
  <si>
    <t>Merchant Payment to 7103997 - ELIUD
KIARIE NGIGI</t>
  </si>
  <si>
    <t>THF2G1FGUE</t>
  </si>
  <si>
    <t>THF5FHHQPZ</t>
  </si>
  <si>
    <t>THF3FF50MB</t>
  </si>
  <si>
    <t>Funds received from 0706***380 - FAITH
SEITA SAIKITA</t>
  </si>
  <si>
    <t>THE4D6FXIE</t>
  </si>
  <si>
    <t>Customer Transfer to 254711***540 -MARY KEMUNTO OBAE</t>
  </si>
  <si>
    <t>THE9AY4NGR</t>
  </si>
  <si>
    <t>THE7AQHFYF</t>
  </si>
  <si>
    <t>Pay Bill to 888880 - KPLC PREPAID Acc.
92100442984</t>
  </si>
  <si>
    <t>THD9931ZZV</t>
  </si>
  <si>
    <t>THD9843I29</t>
  </si>
  <si>
    <t>Customer Transfer to 254729***015 -RAHAB KAPHIRI</t>
  </si>
  <si>
    <t>THD56BLEB7</t>
  </si>
  <si>
    <t>THD06B6JSK</t>
  </si>
  <si>
    <t>THD154H5XR</t>
  </si>
  <si>
    <t>THC43QFMYO</t>
  </si>
  <si>
    <t>THC92BTY8Z</t>
  </si>
  <si>
    <t>THC72BOQT5</t>
  </si>
  <si>
    <t>THC9255YZN</t>
  </si>
  <si>
    <t>Pay Bill Online to 4076749 - TINGG Acc.
0732***250 incl of Ksh 2.00 Processing fee</t>
  </si>
  <si>
    <t>THC31SYTWJ</t>
  </si>
  <si>
    <t>THC5ZTDRKB</t>
  </si>
  <si>
    <t>THB3Y7M75N</t>
  </si>
  <si>
    <t>THB3Y5KNCJ</t>
  </si>
  <si>
    <t>THB6X7YHRS</t>
  </si>
  <si>
    <t>THB6X6Y7RY</t>
  </si>
  <si>
    <t>THB7VQI8EP</t>
  </si>
  <si>
    <t>THB7VMTQOP</t>
  </si>
  <si>
    <t>Merchant Payment to 7710375 - ANN
WAMBUI MAINA 1</t>
  </si>
  <si>
    <t>THB2VMF9I2</t>
  </si>
  <si>
    <t>Pay Bill Online to 4076749 - TINGG Acc.
0782***028 incl of Ksh 1.00 Processing fee</t>
  </si>
  <si>
    <t>THB9UL27XL</t>
  </si>
  <si>
    <t>THB8U7IEMC</t>
  </si>
  <si>
    <t>THA6T4A1KC</t>
  </si>
  <si>
    <t>THA8SNY1FC</t>
  </si>
  <si>
    <t>THA6SLZ06Q</t>
  </si>
  <si>
    <t>THA2QCGHGK</t>
  </si>
  <si>
    <t>THA0PQCHAK</t>
  </si>
  <si>
    <t>THA2PHSZCA</t>
  </si>
  <si>
    <t>TH93O8LCNF</t>
  </si>
  <si>
    <t>Funds received from 254713***248 -Charles Mutunga Mutungi</t>
  </si>
  <si>
    <t>TH93LSJU9L</t>
  </si>
  <si>
    <t>TH98L9L5KC</t>
  </si>
  <si>
    <t>Customer Payment to Small Business to
254725***623 - dominic wekesa</t>
  </si>
  <si>
    <t>TH98L7EQJQ</t>
  </si>
  <si>
    <t>TH91KT0A75</t>
  </si>
  <si>
    <t>TH94KMVILC</t>
  </si>
  <si>
    <t>Pay Bill Online to 4076749 - TINGG Acc.
254782***028</t>
  </si>
  <si>
    <t>TH87GN0UHV</t>
  </si>
  <si>
    <t>TH83GL7TX7</t>
  </si>
  <si>
    <t>TH80FCZJLS</t>
  </si>
  <si>
    <t>TH86EWVPQS</t>
  </si>
  <si>
    <t>TH84EH6O3A</t>
  </si>
  <si>
    <t>TH75D07TQ5</t>
  </si>
  <si>
    <t>TH73C3VMCX</t>
  </si>
  <si>
    <t>TH78BGHGUI</t>
  </si>
  <si>
    <t>TH73A97KKR</t>
  </si>
  <si>
    <t>TH74A91XZG</t>
  </si>
  <si>
    <t>TH648AFQCI</t>
  </si>
  <si>
    <t>TH617Z3MF9</t>
  </si>
  <si>
    <t>TH616S6LNR</t>
  </si>
  <si>
    <t>TH61590XTF</t>
  </si>
  <si>
    <t>TH6458SX9G</t>
  </si>
  <si>
    <t>TH614KXKAT</t>
  </si>
  <si>
    <t>TH572UUAQT</t>
  </si>
  <si>
    <t>TH582UA9ZW</t>
  </si>
  <si>
    <t>TH561FDLCE</t>
  </si>
  <si>
    <t>TH58YPM0SE</t>
  </si>
  <si>
    <t>TH57YMH63Z</t>
  </si>
  <si>
    <t>TH50YE2W4E</t>
  </si>
  <si>
    <t>TH46W65N4G</t>
  </si>
  <si>
    <t>TH46W60800</t>
  </si>
  <si>
    <t>TH41TQJ3M7</t>
  </si>
  <si>
    <t>TH43TL3DOD</t>
  </si>
  <si>
    <t>TH41TK4X9V</t>
  </si>
  <si>
    <t>TH31SFR85N</t>
  </si>
  <si>
    <t>TH31SF8Q0T</t>
  </si>
  <si>
    <t>TH36SCBFZU</t>
  </si>
  <si>
    <t>TH34OZIMW8</t>
  </si>
  <si>
    <t>TH32OOR7T6</t>
  </si>
  <si>
    <t>TH39OO6O8D</t>
  </si>
  <si>
    <t>TH20IQ77NO</t>
  </si>
  <si>
    <t>TH15IPWG1X</t>
  </si>
  <si>
    <t>TH17IPT181</t>
  </si>
  <si>
    <t>TH15H39BAF</t>
  </si>
  <si>
    <t>Customer Transfer to 0714***913 -NICHOLAS OCHIENG OMONDI</t>
  </si>
  <si>
    <t>TH10GND2FQ</t>
  </si>
  <si>
    <t>Pay Bill to 4030737 - WA JOSE SMART
WEAR 3 Acc. Florence</t>
  </si>
  <si>
    <t>TH18G7DSLI</t>
  </si>
  <si>
    <t>Customer Transfer to 0719***715 -CHARLES WANYIKA KIRUGU</t>
  </si>
  <si>
    <t>TH13FKRS3F</t>
  </si>
  <si>
    <t>TH13EZX7G3</t>
  </si>
  <si>
    <t>TGV3D3CPL9</t>
  </si>
  <si>
    <t>TGV9D2RM5P</t>
  </si>
  <si>
    <t>TGV993BZ79</t>
  </si>
  <si>
    <t>TGV99331Y9</t>
  </si>
  <si>
    <t>TGU874XUYA</t>
  </si>
  <si>
    <t>TGU374ET3L</t>
  </si>
  <si>
    <t>TGU4723Q5G</t>
  </si>
  <si>
    <t>Merchant Payment to 7363372 - LEAH
WAIRIMU NGACHU</t>
  </si>
  <si>
    <t>TGU05W4612</t>
  </si>
  <si>
    <t>TGU54Z9EF3</t>
  </si>
  <si>
    <t>TGT5263U59</t>
  </si>
  <si>
    <t>TGT725L4KP</t>
  </si>
  <si>
    <t>TGT91DTJX9</t>
  </si>
  <si>
    <t>Pay Bill Online to 4076749 - TINGG Acc.
0782***028 incl of Ksh 2.00 Processing fee</t>
  </si>
  <si>
    <t>TGT4ZGULF2</t>
  </si>
  <si>
    <t>TGT5ZC6MWD</t>
  </si>
  <si>
    <t>TGT6YMO646</t>
  </si>
  <si>
    <t>TGT7YF7BAZ</t>
  </si>
  <si>
    <t>TGT6YEUG7A</t>
  </si>
  <si>
    <t>TGS5W8JMN1</t>
  </si>
  <si>
    <t>TGS6UX5HOC</t>
  </si>
  <si>
    <t>TGS3UWE6FV</t>
  </si>
  <si>
    <t>TGS4UMNRSE</t>
  </si>
  <si>
    <t>TGS1TLUVP5</t>
  </si>
  <si>
    <t>TGS4TLI58I</t>
  </si>
  <si>
    <t>TGS3TLCNEJ</t>
  </si>
  <si>
    <t>TGS9TK93RL</t>
  </si>
  <si>
    <t>TGR2S82PWC</t>
  </si>
  <si>
    <t>TGR4S6SHK0</t>
  </si>
  <si>
    <t>TGR9OV3A2T</t>
  </si>
  <si>
    <t>TGQ2MQQXSC</t>
  </si>
  <si>
    <t>TGQ3LAAJLH</t>
  </si>
  <si>
    <t>TGP7HFTLEL</t>
  </si>
  <si>
    <t>TGP8GDSL6E</t>
  </si>
  <si>
    <t>TGP0F71LQU</t>
  </si>
  <si>
    <t>TGP8F2VGLI</t>
  </si>
  <si>
    <t>TGO5C0Q68X</t>
  </si>
  <si>
    <t>TGO2ABC1N0</t>
  </si>
  <si>
    <t>TGO0A8JVZM</t>
  </si>
  <si>
    <t>TGN584PUFD</t>
  </si>
  <si>
    <t>TGN15K9GVZ</t>
  </si>
  <si>
    <t>TGM412XOLS</t>
  </si>
  <si>
    <t>TGM9ZSU5GP</t>
  </si>
  <si>
    <t>TGL5XN3I8F</t>
  </si>
  <si>
    <t>TGL3WJTOHR</t>
  </si>
  <si>
    <t>TGL0VNWXB0</t>
  </si>
  <si>
    <t>TGL7VCIXKX</t>
  </si>
  <si>
    <t>TGK4T3L22W</t>
  </si>
  <si>
    <t>TGK1RVBR0Z</t>
  </si>
  <si>
    <t>TGK0QR4NNW</t>
  </si>
  <si>
    <t>TGK5QOIJS5</t>
  </si>
  <si>
    <t>TGJ2N25JR6</t>
  </si>
  <si>
    <t>Customer Transfer to 0798***025 - Felix
Ouma</t>
  </si>
  <si>
    <t>TGJ4N0XI14</t>
  </si>
  <si>
    <t>Merchant Payment to 9294436 - SALOME
KWAMBOKA OGETO1</t>
  </si>
  <si>
    <t>TGJ5N0OBWF</t>
  </si>
  <si>
    <t>TGJ1M14MI9</t>
  </si>
  <si>
    <t>TGJ5LU8WJF</t>
  </si>
  <si>
    <t>TGJ6LTCUSQ</t>
  </si>
  <si>
    <t>TGI6JFKZBG</t>
  </si>
  <si>
    <t>TGI5JEMDBL</t>
  </si>
  <si>
    <t>TGI5IAX9O1</t>
  </si>
  <si>
    <t>TGI3HT89OV</t>
  </si>
  <si>
    <t>TGI3HQRW5L</t>
  </si>
  <si>
    <t>Pay Bill to 714888 - LOOP BIZ Acc. 223344</t>
  </si>
  <si>
    <t>TGI4HOZEJ0</t>
  </si>
  <si>
    <t>TGI4H5FS3G</t>
  </si>
  <si>
    <t>TGI7H0GX1F</t>
  </si>
  <si>
    <t>TGI3H0A7LX</t>
  </si>
  <si>
    <t>TGH1C4FQK9</t>
  </si>
  <si>
    <t>TGG78GYCHZ</t>
  </si>
  <si>
    <t>TGG28FDSF8</t>
  </si>
  <si>
    <t>TGG48EWQAE</t>
  </si>
  <si>
    <t>TGG074GG98</t>
  </si>
  <si>
    <t>TGF75PZPOX</t>
  </si>
  <si>
    <t>TGF84ZI470</t>
  </si>
  <si>
    <t>TGF24XTQ32</t>
  </si>
  <si>
    <t>TGE4Y4NFGC</t>
  </si>
  <si>
    <t>TGE5X4DFCX</t>
  </si>
  <si>
    <t>Merchant Payment Online to 9535302 -PATRICK KOMBE</t>
  </si>
  <si>
    <t>TGE5WXWF0N</t>
  </si>
  <si>
    <t>TGE0WWEIHW</t>
  </si>
  <si>
    <t>TGD0SE4C4S</t>
  </si>
  <si>
    <t>TGD8S90M4K</t>
  </si>
  <si>
    <t>TGC8N3JY9A</t>
  </si>
  <si>
    <t>TGB3LWXNRH</t>
  </si>
  <si>
    <t>TGB6JYXD34</t>
  </si>
  <si>
    <t>TGB6JYOWT8</t>
  </si>
  <si>
    <t>TGB1JWEUSN</t>
  </si>
  <si>
    <t>TGB4IIM5W4</t>
  </si>
  <si>
    <t>TGB3I46LQD</t>
  </si>
  <si>
    <t>TGB5HUV651</t>
  </si>
  <si>
    <t>TGB5HRQRIZ</t>
  </si>
  <si>
    <t>TGA4EP5988</t>
  </si>
  <si>
    <t>TGA0EOVI4E</t>
  </si>
  <si>
    <t>TGA6ELNED6</t>
  </si>
  <si>
    <t>TGA4EHNVH2</t>
  </si>
  <si>
    <t>Merchant Payment to 6105075 - MARGRET
KEMUNTO BATE .</t>
  </si>
  <si>
    <t>TGA0EGK780</t>
  </si>
  <si>
    <t>TGA7EEXFV5</t>
  </si>
  <si>
    <t>Customer Payment to Small Business to
254710***037 - JOYCE WANJIKU
MWANGI</t>
  </si>
  <si>
    <t>TGA1DYMYBH</t>
  </si>
  <si>
    <t>TGA3DLVNRN</t>
  </si>
  <si>
    <t>TG97B8YGBR</t>
  </si>
  <si>
    <t>TG94B8OLKA</t>
  </si>
  <si>
    <t>TG99B7GVM7</t>
  </si>
  <si>
    <t>TG939L0AOT</t>
  </si>
  <si>
    <t>TG969GQ5DC</t>
  </si>
  <si>
    <t>TG998C7EDZ</t>
  </si>
  <si>
    <t>TG958C0ANH</t>
  </si>
  <si>
    <t>TG836Y8ZIH</t>
  </si>
  <si>
    <t>TG885YGXA0</t>
  </si>
  <si>
    <t>TG835XYCSL</t>
  </si>
  <si>
    <t>TG825WVC0M</t>
  </si>
  <si>
    <t>TG8247TYXA</t>
  </si>
  <si>
    <t>TG873LUNIH</t>
  </si>
  <si>
    <t>TG893DCZ4R</t>
  </si>
  <si>
    <t>TG791T9CHL</t>
  </si>
  <si>
    <t>TG761PWWY2</t>
  </si>
  <si>
    <t>TG741I9M4K</t>
  </si>
  <si>
    <t>TG78ZXWZE4</t>
  </si>
  <si>
    <t>TG72ZXCUCK</t>
  </si>
  <si>
    <t>Customer Transfer to 254719***986 -EUNICE WANJIKU MUTUA</t>
  </si>
  <si>
    <t>TG72ZEJLIA</t>
  </si>
  <si>
    <t>TG71ZE555H</t>
  </si>
  <si>
    <t>TG73ZD2OK9</t>
  </si>
  <si>
    <t>TG62WBMNA4</t>
  </si>
  <si>
    <t>TG61WB0QY3</t>
  </si>
  <si>
    <t>TG63WARVCL</t>
  </si>
  <si>
    <t>TG68W7UEBY</t>
  </si>
  <si>
    <t>TG62W4GRJ4</t>
  </si>
  <si>
    <t>TG68VJL7NC</t>
  </si>
  <si>
    <t>TG67TGEKRL</t>
  </si>
  <si>
    <t>TG65T5XQE3</t>
  </si>
  <si>
    <t>Month</t>
  </si>
  <si>
    <t>Weekday</t>
  </si>
  <si>
    <t>Row Labels</t>
  </si>
  <si>
    <t>Jul</t>
  </si>
  <si>
    <t>Aug</t>
  </si>
  <si>
    <t>Sep</t>
  </si>
  <si>
    <t>Grand Total</t>
  </si>
  <si>
    <t>Sum of Amount Sent to Others</t>
  </si>
  <si>
    <t>Sun</t>
  </si>
  <si>
    <t>Mon</t>
  </si>
  <si>
    <t>Tue</t>
  </si>
  <si>
    <t>Wed</t>
  </si>
  <si>
    <t>Thu</t>
  </si>
  <si>
    <t>Fri</t>
  </si>
  <si>
    <t>Sat</t>
  </si>
  <si>
    <t>Sum of Mpesa Balance</t>
  </si>
  <si>
    <t>Sum of Amount Received to Mpesa</t>
  </si>
  <si>
    <t>Month By Amount Sent To Others</t>
  </si>
  <si>
    <t>Shops By Amount Sent</t>
  </si>
  <si>
    <t>Month By Amount Received</t>
  </si>
  <si>
    <t>Month By Mpesa Balance</t>
  </si>
  <si>
    <t>Amount Spent</t>
  </si>
  <si>
    <t>Amount Received</t>
  </si>
  <si>
    <t>AMOUNT SPENT=</t>
  </si>
  <si>
    <t>AMOUNT RECEIVED=</t>
  </si>
  <si>
    <t>Transaction Date</t>
  </si>
  <si>
    <t>Transaction Category</t>
  </si>
  <si>
    <t>Amount Sent</t>
  </si>
  <si>
    <t>Time</t>
  </si>
  <si>
    <t>Balance</t>
  </si>
  <si>
    <t>Charles Mutunga Mutungi</t>
  </si>
  <si>
    <t>02/09/2025</t>
  </si>
  <si>
    <t>01/09/2025</t>
  </si>
  <si>
    <t>24/08/2025</t>
  </si>
  <si>
    <t>23/08/2025</t>
  </si>
  <si>
    <t>22/08/2025</t>
  </si>
  <si>
    <t>21/08/2025</t>
  </si>
  <si>
    <t>20/08/2025</t>
  </si>
  <si>
    <t>19/08/2025</t>
  </si>
  <si>
    <t>18/08/2025</t>
  </si>
  <si>
    <t>17/08/2025</t>
  </si>
  <si>
    <t>16/08/2025</t>
  </si>
  <si>
    <t>15/08/2025</t>
  </si>
  <si>
    <t>14/08/2025</t>
  </si>
  <si>
    <t>13/08/2025</t>
  </si>
  <si>
    <t>12/08/2025</t>
  </si>
  <si>
    <t>11/08/2025</t>
  </si>
  <si>
    <t>10/08/2025</t>
  </si>
  <si>
    <t>09/08/2025</t>
  </si>
  <si>
    <t>08/08/2025</t>
  </si>
  <si>
    <t>07/08/2025</t>
  </si>
  <si>
    <t>06/08/2025</t>
  </si>
  <si>
    <t>05/08/2025</t>
  </si>
  <si>
    <t>04/08/2025</t>
  </si>
  <si>
    <t>03/08/2025</t>
  </si>
  <si>
    <t>02/08/2025</t>
  </si>
  <si>
    <t>01/08/2025</t>
  </si>
  <si>
    <t>31/07/2025</t>
  </si>
  <si>
    <t>30/07/2025</t>
  </si>
  <si>
    <t>29/07/2025</t>
  </si>
  <si>
    <t>28/07/2025</t>
  </si>
  <si>
    <t>27/07/2025</t>
  </si>
  <si>
    <t>26/07/2025</t>
  </si>
  <si>
    <t>25/07/2025</t>
  </si>
  <si>
    <t>24/07/2025</t>
  </si>
  <si>
    <t>23/07/2025</t>
  </si>
  <si>
    <t>22/07/2025</t>
  </si>
  <si>
    <t>21/07/2025</t>
  </si>
  <si>
    <t>20/07/2025</t>
  </si>
  <si>
    <t>19/07/2025</t>
  </si>
  <si>
    <t>18/07/2025</t>
  </si>
  <si>
    <t>17/07/2025</t>
  </si>
  <si>
    <t>16/07/2025</t>
  </si>
  <si>
    <t>15/07/2025</t>
  </si>
  <si>
    <t>14/07/2025</t>
  </si>
  <si>
    <t>13/07/2025</t>
  </si>
  <si>
    <t>12/07/2025</t>
  </si>
  <si>
    <t>11/07/2025</t>
  </si>
  <si>
    <t>10/07/2025</t>
  </si>
  <si>
    <t>09/07/2025</t>
  </si>
  <si>
    <t>08/07/2025</t>
  </si>
  <si>
    <t>07/07/2025</t>
  </si>
  <si>
    <t>06/07/2025</t>
  </si>
  <si>
    <t>Counterparty</t>
  </si>
  <si>
    <t>Customer Payment to Small Business</t>
  </si>
  <si>
    <t>Transaction Cost</t>
  </si>
  <si>
    <t>Data Bundles</t>
  </si>
  <si>
    <t>Funds Received</t>
  </si>
  <si>
    <t xml:space="preserve"> Josphine Kamonya Mwanzi</t>
  </si>
  <si>
    <t xml:space="preserve"> Felix
Ouma</t>
  </si>
  <si>
    <t>Customer Transfer of Funds</t>
  </si>
  <si>
    <t xml:space="preserve">Merchant Payment </t>
  </si>
  <si>
    <t>Pay Bill Online</t>
  </si>
  <si>
    <t xml:space="preserve"> Francis Karahi Rovega</t>
  </si>
  <si>
    <t>Joseph Gitonga</t>
  </si>
  <si>
    <t>Truth Wifi</t>
  </si>
  <si>
    <t>Josephine Ndinda Muia</t>
  </si>
  <si>
    <t>Mary Kemunto Obae</t>
  </si>
  <si>
    <t>Kplc</t>
  </si>
  <si>
    <t>Rahab Kaphiri</t>
  </si>
  <si>
    <t xml:space="preserve"> Dominic Wekesa</t>
  </si>
  <si>
    <t>Nicholas Ochieng Omondi</t>
  </si>
  <si>
    <t>Charles Wanyika Kirugu</t>
  </si>
  <si>
    <t>Patrick Kombe</t>
  </si>
  <si>
    <t xml:space="preserve"> Joyce Wanjiku
Mwangi</t>
  </si>
  <si>
    <t>Eunice Wanjiku Mutua</t>
  </si>
  <si>
    <t xml:space="preserve"> Ann Wambui Maina </t>
  </si>
  <si>
    <t xml:space="preserve"> Eric Kimathi Muthuri</t>
  </si>
  <si>
    <t xml:space="preserve"> Eliud Kiarie Ngigi</t>
  </si>
  <si>
    <t xml:space="preserve"> Faith Seita Saikita</t>
  </si>
  <si>
    <t xml:space="preserve"> Phylis Wanjiru Mbuthia</t>
  </si>
  <si>
    <t xml:space="preserve"> Sarah Wanjiru Ndungu</t>
  </si>
  <si>
    <t xml:space="preserve"> Rebecca Wambui Njau</t>
  </si>
  <si>
    <t xml:space="preserve"> Jacob Muuo Matata</t>
  </si>
  <si>
    <t xml:space="preserve"> Margret Kemunto Bate .</t>
  </si>
  <si>
    <t xml:space="preserve"> Leah Wairimu Ngachu</t>
  </si>
  <si>
    <t xml:space="preserve"> Loop Biz</t>
  </si>
  <si>
    <t xml:space="preserve"> Salome Kwamboka Ogeto</t>
  </si>
  <si>
    <t xml:space="preserve"> Rahab Wambui Kirunyu</t>
  </si>
  <si>
    <t xml:space="preserve"> Wa Jose Smart Wear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</si>
</sst>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Ksh&quot;#,##0"/>
    <numFmt numFmtId="167" formatCode="[$-F400]h:mm:ss\ am/pm"/>
  </numFmts>
  <fonts count="2" x14ac:knownFonts="1">
    <font>
      <sz val="11"/>
      <color theme="1"/>
      <name val="Calibri"/>
      <family val="2"/>
      <scheme val="minor"/>
    </font>
    <font>
      <sz val="11"/>
      <color rgb="FFFF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xf numFmtId="164" fontId="0" fillId="0" borderId="0" xfId="0" applyNumberFormat="1"/>
    <xf numFmtId="164" fontId="1" fillId="0" borderId="0" xfId="0" applyNumberFormat="1" applyFont="1"/>
    <xf numFmtId="164" fontId="0" fillId="0" borderId="0" xfId="0" pivotButton="1" applyNumberFormat="1"/>
    <xf numFmtId="164" fontId="0" fillId="0" borderId="0" xfId="0" applyNumberFormat="1" applyAlignment="1">
      <alignment horizontal="left"/>
    </xf>
    <xf numFmtId="164" fontId="0" fillId="0" borderId="0" xfId="0" applyNumberFormat="1" applyAlignment="1">
      <alignment horizontal="left" indent="1"/>
    </xf>
    <xf numFmtId="0" fontId="0" fillId="0" borderId="0" xfId="0" applyNumberFormat="1"/>
    <xf numFmtId="167" fontId="0" fillId="0" borderId="0" xfId="0" applyNumberFormat="1"/>
  </cellXfs>
  <cellStyles count="1">
    <cellStyle name="Normal" xfId="0" builtinId="0"/>
  </cellStyles>
  <dxfs count="20">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Statement As From April-September 2025.xlsm]Pivot!PivotTable1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730600130679867"/>
          <c:y val="3.7546657836796477E-2"/>
          <c:w val="0.76019048251879906"/>
          <c:h val="0.80500813824480533"/>
        </c:manualLayout>
      </c:layout>
      <c:barChart>
        <c:barDir val="col"/>
        <c:grouping val="clustered"/>
        <c:varyColors val="0"/>
        <c:ser>
          <c:idx val="0"/>
          <c:order val="0"/>
          <c:tx>
            <c:strRef>
              <c:f>Pivot!$B$2</c:f>
              <c:strCache>
                <c:ptCount val="1"/>
                <c:pt idx="0">
                  <c:v>Total</c:v>
                </c:pt>
              </c:strCache>
            </c:strRef>
          </c:tx>
          <c:spPr>
            <a:solidFill>
              <a:srgbClr val="0070C0"/>
            </a:solidFill>
            <a:ln>
              <a:noFill/>
            </a:ln>
            <a:effectLst/>
          </c:spPr>
          <c:invertIfNegative val="0"/>
          <c:cat>
            <c:multiLvlStrRef>
              <c:f>Pivot!$A$3:$A$22</c:f>
              <c:multiLvlStrCache>
                <c:ptCount val="16"/>
                <c:lvl>
                  <c:pt idx="0">
                    <c:v>Sun</c:v>
                  </c:pt>
                  <c:pt idx="1">
                    <c:v>Mon</c:v>
                  </c:pt>
                  <c:pt idx="2">
                    <c:v>Tue</c:v>
                  </c:pt>
                  <c:pt idx="3">
                    <c:v>Wed</c:v>
                  </c:pt>
                  <c:pt idx="4">
                    <c:v>Thu</c:v>
                  </c:pt>
                  <c:pt idx="5">
                    <c:v>Fri</c:v>
                  </c:pt>
                  <c:pt idx="6">
                    <c:v>Sat</c:v>
                  </c:pt>
                  <c:pt idx="7">
                    <c:v>Sun</c:v>
                  </c:pt>
                  <c:pt idx="8">
                    <c:v>Mon</c:v>
                  </c:pt>
                  <c:pt idx="9">
                    <c:v>Tue</c:v>
                  </c:pt>
                  <c:pt idx="10">
                    <c:v>Wed</c:v>
                  </c:pt>
                  <c:pt idx="11">
                    <c:v>Thu</c:v>
                  </c:pt>
                  <c:pt idx="12">
                    <c:v>Fri</c:v>
                  </c:pt>
                  <c:pt idx="13">
                    <c:v>Sat</c:v>
                  </c:pt>
                  <c:pt idx="14">
                    <c:v>Mon</c:v>
                  </c:pt>
                  <c:pt idx="15">
                    <c:v>Tue</c:v>
                  </c:pt>
                </c:lvl>
                <c:lvl>
                  <c:pt idx="0">
                    <c:v>Jul</c:v>
                  </c:pt>
                  <c:pt idx="7">
                    <c:v>Aug</c:v>
                  </c:pt>
                  <c:pt idx="14">
                    <c:v>Sep</c:v>
                  </c:pt>
                </c:lvl>
              </c:multiLvlStrCache>
            </c:multiLvlStrRef>
          </c:cat>
          <c:val>
            <c:numRef>
              <c:f>Pivot!$B$3:$B$22</c:f>
              <c:numCache>
                <c:formatCode>"Ksh"#,##0</c:formatCode>
                <c:ptCount val="16"/>
                <c:pt idx="0">
                  <c:v>849</c:v>
                </c:pt>
                <c:pt idx="1">
                  <c:v>922</c:v>
                </c:pt>
                <c:pt idx="2">
                  <c:v>660</c:v>
                </c:pt>
                <c:pt idx="3">
                  <c:v>450</c:v>
                </c:pt>
                <c:pt idx="4">
                  <c:v>5002</c:v>
                </c:pt>
                <c:pt idx="5">
                  <c:v>5082</c:v>
                </c:pt>
                <c:pt idx="6">
                  <c:v>312</c:v>
                </c:pt>
                <c:pt idx="7">
                  <c:v>330</c:v>
                </c:pt>
                <c:pt idx="8">
                  <c:v>786</c:v>
                </c:pt>
                <c:pt idx="9">
                  <c:v>602</c:v>
                </c:pt>
                <c:pt idx="10">
                  <c:v>3787</c:v>
                </c:pt>
                <c:pt idx="11">
                  <c:v>448</c:v>
                </c:pt>
                <c:pt idx="12">
                  <c:v>1608</c:v>
                </c:pt>
                <c:pt idx="13">
                  <c:v>275</c:v>
                </c:pt>
                <c:pt idx="14">
                  <c:v>4140</c:v>
                </c:pt>
                <c:pt idx="15">
                  <c:v>23</c:v>
                </c:pt>
              </c:numCache>
            </c:numRef>
          </c:val>
          <c:extLst>
            <c:ext xmlns:c16="http://schemas.microsoft.com/office/drawing/2014/chart" uri="{C3380CC4-5D6E-409C-BE32-E72D297353CC}">
              <c16:uniqueId val="{00000000-39DE-4BFC-8BA6-2EC177108D0B}"/>
            </c:ext>
          </c:extLst>
        </c:ser>
        <c:dLbls>
          <c:showLegendKey val="0"/>
          <c:showVal val="0"/>
          <c:showCatName val="0"/>
          <c:showSerName val="0"/>
          <c:showPercent val="0"/>
          <c:showBubbleSize val="0"/>
        </c:dLbls>
        <c:gapWidth val="30"/>
        <c:axId val="1790955616"/>
        <c:axId val="1790957280"/>
      </c:barChart>
      <c:catAx>
        <c:axId val="1790955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1790957280"/>
        <c:crosses val="autoZero"/>
        <c:auto val="1"/>
        <c:lblAlgn val="ctr"/>
        <c:lblOffset val="100"/>
        <c:noMultiLvlLbl val="0"/>
      </c:catAx>
      <c:valAx>
        <c:axId val="1790957280"/>
        <c:scaling>
          <c:orientation val="minMax"/>
        </c:scaling>
        <c:delete val="0"/>
        <c:axPos val="l"/>
        <c:numFmt formatCode="&quot;Ksh&quot;#,##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KE"/>
          </a:p>
        </c:txPr>
        <c:crossAx val="1790955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Statement As From April-September 2025.xlsm]Pivot!PivotTable2</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Pivot!$E$2</c:f>
              <c:strCache>
                <c:ptCount val="1"/>
                <c:pt idx="0">
                  <c:v>Total</c:v>
                </c:pt>
              </c:strCache>
            </c:strRef>
          </c:tx>
          <c:spPr>
            <a:solidFill>
              <a:srgbClr val="00B0F0"/>
            </a:solidFill>
            <a:ln>
              <a:noFill/>
            </a:ln>
            <a:effectLst/>
          </c:spPr>
          <c:invertIfNegative val="0"/>
          <c:cat>
            <c:strRef>
              <c:f>Pivot!$D$3:$D$4</c:f>
              <c:strCache>
                <c:ptCount val="1"/>
                <c:pt idx="0">
                  <c:v>Customer Payment to Small Business to
254721***731 - RAHAB WAMBUI
KIRUNYU</c:v>
                </c:pt>
              </c:strCache>
            </c:strRef>
          </c:cat>
          <c:val>
            <c:numRef>
              <c:f>Pivot!$E$3:$E$4</c:f>
              <c:numCache>
                <c:formatCode>General</c:formatCode>
                <c:ptCount val="1"/>
                <c:pt idx="0">
                  <c:v>1050</c:v>
                </c:pt>
              </c:numCache>
            </c:numRef>
          </c:val>
          <c:extLst>
            <c:ext xmlns:c16="http://schemas.microsoft.com/office/drawing/2014/chart" uri="{C3380CC4-5D6E-409C-BE32-E72D297353CC}">
              <c16:uniqueId val="{00000000-6AF2-476B-95A7-FB8E0A4B0BDC}"/>
            </c:ext>
          </c:extLst>
        </c:ser>
        <c:dLbls>
          <c:showLegendKey val="0"/>
          <c:showVal val="0"/>
          <c:showCatName val="0"/>
          <c:showSerName val="0"/>
          <c:showPercent val="0"/>
          <c:showBubbleSize val="0"/>
        </c:dLbls>
        <c:gapWidth val="18"/>
        <c:axId val="27798864"/>
        <c:axId val="27798032"/>
      </c:barChart>
      <c:catAx>
        <c:axId val="2779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7798032"/>
        <c:crosses val="autoZero"/>
        <c:auto val="1"/>
        <c:lblAlgn val="ctr"/>
        <c:lblOffset val="100"/>
        <c:noMultiLvlLbl val="0"/>
      </c:catAx>
      <c:valAx>
        <c:axId val="27798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KE"/>
          </a:p>
        </c:txPr>
        <c:crossAx val="27798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Statement As From April-September 2025.xlsm]Pivot!PivotTable5</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360299140689606"/>
          <c:y val="0.14185373887087641"/>
          <c:w val="0.6912410284997561"/>
          <c:h val="0.43159448818897639"/>
        </c:manualLayout>
      </c:layout>
      <c:lineChart>
        <c:grouping val="standard"/>
        <c:varyColors val="0"/>
        <c:ser>
          <c:idx val="0"/>
          <c:order val="0"/>
          <c:tx>
            <c:strRef>
              <c:f>Pivot!$L$3</c:f>
              <c:strCache>
                <c:ptCount val="1"/>
                <c:pt idx="0">
                  <c:v>Total</c:v>
                </c:pt>
              </c:strCache>
            </c:strRef>
          </c:tx>
          <c:spPr>
            <a:ln w="28575" cap="rnd">
              <a:solidFill>
                <a:srgbClr val="FF0000"/>
              </a:solidFill>
              <a:round/>
            </a:ln>
            <a:effectLst/>
          </c:spPr>
          <c:marker>
            <c:symbol val="none"/>
          </c:marker>
          <c:cat>
            <c:multiLvlStrRef>
              <c:f>Pivot!$K$4:$K$23</c:f>
              <c:multiLvlStrCache>
                <c:ptCount val="16"/>
                <c:lvl>
                  <c:pt idx="0">
                    <c:v>Sun</c:v>
                  </c:pt>
                  <c:pt idx="1">
                    <c:v>Mon</c:v>
                  </c:pt>
                  <c:pt idx="2">
                    <c:v>Tue</c:v>
                  </c:pt>
                  <c:pt idx="3">
                    <c:v>Wed</c:v>
                  </c:pt>
                  <c:pt idx="4">
                    <c:v>Thu</c:v>
                  </c:pt>
                  <c:pt idx="5">
                    <c:v>Fri</c:v>
                  </c:pt>
                  <c:pt idx="6">
                    <c:v>Sat</c:v>
                  </c:pt>
                  <c:pt idx="7">
                    <c:v>Sun</c:v>
                  </c:pt>
                  <c:pt idx="8">
                    <c:v>Mon</c:v>
                  </c:pt>
                  <c:pt idx="9">
                    <c:v>Tue</c:v>
                  </c:pt>
                  <c:pt idx="10">
                    <c:v>Wed</c:v>
                  </c:pt>
                  <c:pt idx="11">
                    <c:v>Thu</c:v>
                  </c:pt>
                  <c:pt idx="12">
                    <c:v>Fri</c:v>
                  </c:pt>
                  <c:pt idx="13">
                    <c:v>Sat</c:v>
                  </c:pt>
                  <c:pt idx="14">
                    <c:v>Mon</c:v>
                  </c:pt>
                  <c:pt idx="15">
                    <c:v>Tue</c:v>
                  </c:pt>
                </c:lvl>
                <c:lvl>
                  <c:pt idx="0">
                    <c:v>Jul</c:v>
                  </c:pt>
                  <c:pt idx="7">
                    <c:v>Aug</c:v>
                  </c:pt>
                  <c:pt idx="14">
                    <c:v>Sep</c:v>
                  </c:pt>
                </c:lvl>
              </c:multiLvlStrCache>
            </c:multiLvlStrRef>
          </c:cat>
          <c:val>
            <c:numRef>
              <c:f>Pivot!$L$4:$L$23</c:f>
              <c:numCache>
                <c:formatCode>General</c:formatCode>
                <c:ptCount val="16"/>
                <c:pt idx="0">
                  <c:v>1537</c:v>
                </c:pt>
                <c:pt idx="1">
                  <c:v>900</c:v>
                </c:pt>
                <c:pt idx="2">
                  <c:v>100</c:v>
                </c:pt>
                <c:pt idx="3">
                  <c:v>360</c:v>
                </c:pt>
                <c:pt idx="4">
                  <c:v>5100</c:v>
                </c:pt>
                <c:pt idx="5">
                  <c:v>5280</c:v>
                </c:pt>
                <c:pt idx="6">
                  <c:v>0</c:v>
                </c:pt>
                <c:pt idx="7">
                  <c:v>305</c:v>
                </c:pt>
                <c:pt idx="8">
                  <c:v>5795</c:v>
                </c:pt>
                <c:pt idx="9">
                  <c:v>100</c:v>
                </c:pt>
                <c:pt idx="10">
                  <c:v>161</c:v>
                </c:pt>
                <c:pt idx="11">
                  <c:v>0</c:v>
                </c:pt>
                <c:pt idx="12">
                  <c:v>1128</c:v>
                </c:pt>
                <c:pt idx="13">
                  <c:v>280</c:v>
                </c:pt>
                <c:pt idx="14">
                  <c:v>32600</c:v>
                </c:pt>
                <c:pt idx="15">
                  <c:v>0</c:v>
                </c:pt>
              </c:numCache>
            </c:numRef>
          </c:val>
          <c:smooth val="0"/>
          <c:extLst>
            <c:ext xmlns:c16="http://schemas.microsoft.com/office/drawing/2014/chart" uri="{C3380CC4-5D6E-409C-BE32-E72D297353CC}">
              <c16:uniqueId val="{00000000-54D8-4342-B91B-4A105D26CFDB}"/>
            </c:ext>
          </c:extLst>
        </c:ser>
        <c:dLbls>
          <c:showLegendKey val="0"/>
          <c:showVal val="0"/>
          <c:showCatName val="0"/>
          <c:showSerName val="0"/>
          <c:showPercent val="0"/>
          <c:showBubbleSize val="0"/>
        </c:dLbls>
        <c:smooth val="0"/>
        <c:axId val="2065618080"/>
        <c:axId val="2065604352"/>
      </c:lineChart>
      <c:catAx>
        <c:axId val="20656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065604352"/>
        <c:crosses val="autoZero"/>
        <c:auto val="1"/>
        <c:lblAlgn val="ctr"/>
        <c:lblOffset val="100"/>
        <c:noMultiLvlLbl val="0"/>
      </c:catAx>
      <c:valAx>
        <c:axId val="20656043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065618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Statement As From April-September 2025.xlsm]Pivot!PivotTable3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accent1">
                <a:shade val="50000"/>
                <a:alpha val="26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w="19050">
            <a:solidFill>
              <a:schemeClr val="accent1">
                <a:shade val="50000"/>
                <a:alpha val="26000"/>
              </a:schemeClr>
            </a:solidFill>
          </a:ln>
          <a:effectLst/>
        </c:spPr>
        <c:dLbl>
          <c:idx val="0"/>
          <c:layout>
            <c:manualLayout>
              <c:x val="-5.8989085006522862E-2"/>
              <c:y val="0.2248175871617409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DE74998-9E37-4EEE-9110-1C06CD062188}" type="VALUE">
                  <a:rPr lang="en-US" sz="1000"/>
                  <a:pPr>
                    <a:defRPr>
                      <a:solidFill>
                        <a:schemeClr val="bg1"/>
                      </a:solidFill>
                    </a:defRPr>
                  </a:pPr>
                  <a:t>[VALUE]</a:t>
                </a:fld>
                <a:endParaRPr lang="en-KE"/>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1">
              <a:lumMod val="60000"/>
              <a:lumOff val="40000"/>
            </a:schemeClr>
          </a:solidFill>
          <a:ln w="19050">
            <a:solidFill>
              <a:schemeClr val="accent1">
                <a:shade val="50000"/>
                <a:alpha val="26000"/>
              </a:schemeClr>
            </a:solidFill>
          </a:ln>
          <a:effectLst/>
        </c:spPr>
        <c:dLbl>
          <c:idx val="0"/>
          <c:layout>
            <c:manualLayout>
              <c:x val="1.1797817001304537E-2"/>
              <c:y val="0.347445361977236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accent1">
                <a:shade val="50000"/>
                <a:alpha val="26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w="19050">
            <a:solidFill>
              <a:schemeClr val="accent1">
                <a:shade val="50000"/>
                <a:alpha val="26000"/>
              </a:schemeClr>
            </a:solidFill>
          </a:ln>
          <a:effectLst/>
        </c:spPr>
        <c:dLbl>
          <c:idx val="0"/>
          <c:layout>
            <c:manualLayout>
              <c:x val="1.9889495840432998E-2"/>
              <c:y val="-0.162711951267557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accent1">
                <a:shade val="50000"/>
                <a:alpha val="26000"/>
              </a:schemeClr>
            </a:solidFill>
          </a:ln>
          <a:effectLst/>
        </c:spPr>
      </c:pivotFmt>
      <c:pivotFmt>
        <c:idx val="7"/>
        <c:spPr>
          <a:solidFill>
            <a:schemeClr val="tx1">
              <a:lumMod val="50000"/>
              <a:lumOff val="50000"/>
            </a:schemeClr>
          </a:solidFill>
          <a:ln w="19050">
            <a:solidFill>
              <a:schemeClr val="accent1">
                <a:shade val="50000"/>
                <a:alpha val="26000"/>
              </a:schemeClr>
            </a:solidFill>
          </a:ln>
          <a:effectLst/>
        </c:spPr>
        <c:dLbl>
          <c:idx val="0"/>
          <c:layout>
            <c:manualLayout>
              <c:x val="-3.1460845336812232E-2"/>
              <c:y val="3.406327078208194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8.1739750253848067E-2"/>
          <c:y val="1.3559329272296422E-2"/>
          <c:w val="0.46592088009629418"/>
          <c:h val="0.92469767767125455"/>
        </c:manualLayout>
      </c:layout>
      <c:doughnutChart>
        <c:varyColors val="1"/>
        <c:ser>
          <c:idx val="0"/>
          <c:order val="0"/>
          <c:tx>
            <c:strRef>
              <c:f>Pivot!$H$2</c:f>
              <c:strCache>
                <c:ptCount val="1"/>
                <c:pt idx="0">
                  <c:v>Total</c:v>
                </c:pt>
              </c:strCache>
            </c:strRef>
          </c:tx>
          <c:spPr>
            <a:ln>
              <a:solidFill>
                <a:schemeClr val="accent1">
                  <a:shade val="50000"/>
                  <a:alpha val="26000"/>
                </a:schemeClr>
              </a:solidFill>
            </a:ln>
          </c:spPr>
          <c:dPt>
            <c:idx val="0"/>
            <c:bubble3D val="0"/>
            <c:spPr>
              <a:solidFill>
                <a:srgbClr val="002060"/>
              </a:solidFill>
              <a:ln w="19050">
                <a:solidFill>
                  <a:schemeClr val="accent1">
                    <a:shade val="50000"/>
                    <a:alpha val="26000"/>
                  </a:schemeClr>
                </a:solidFill>
              </a:ln>
              <a:effectLst/>
            </c:spPr>
            <c:extLst>
              <c:ext xmlns:c16="http://schemas.microsoft.com/office/drawing/2014/chart" uri="{C3380CC4-5D6E-409C-BE32-E72D297353CC}">
                <c16:uniqueId val="{00000001-E1AC-4EFB-A497-317893D6B9E4}"/>
              </c:ext>
            </c:extLst>
          </c:dPt>
          <c:dPt>
            <c:idx val="1"/>
            <c:bubble3D val="0"/>
            <c:spPr>
              <a:solidFill>
                <a:schemeClr val="accent1">
                  <a:lumMod val="60000"/>
                  <a:lumOff val="40000"/>
                </a:schemeClr>
              </a:solidFill>
              <a:ln w="19050">
                <a:solidFill>
                  <a:schemeClr val="accent1">
                    <a:shade val="50000"/>
                    <a:alpha val="26000"/>
                  </a:schemeClr>
                </a:solidFill>
              </a:ln>
              <a:effectLst/>
            </c:spPr>
            <c:extLst>
              <c:ext xmlns:c16="http://schemas.microsoft.com/office/drawing/2014/chart" uri="{C3380CC4-5D6E-409C-BE32-E72D297353CC}">
                <c16:uniqueId val="{00000003-E1AC-4EFB-A497-317893D6B9E4}"/>
              </c:ext>
            </c:extLst>
          </c:dPt>
          <c:dPt>
            <c:idx val="2"/>
            <c:bubble3D val="0"/>
            <c:spPr>
              <a:solidFill>
                <a:schemeClr val="accent1"/>
              </a:solidFill>
              <a:ln w="19050">
                <a:solidFill>
                  <a:schemeClr val="accent1">
                    <a:shade val="50000"/>
                    <a:alpha val="26000"/>
                  </a:schemeClr>
                </a:solidFill>
              </a:ln>
              <a:effectLst/>
            </c:spPr>
            <c:extLst>
              <c:ext xmlns:c16="http://schemas.microsoft.com/office/drawing/2014/chart" uri="{C3380CC4-5D6E-409C-BE32-E72D297353CC}">
                <c16:uniqueId val="{00000005-E1AC-4EFB-A497-317893D6B9E4}"/>
              </c:ext>
            </c:extLst>
          </c:dPt>
          <c:dPt>
            <c:idx val="3"/>
            <c:bubble3D val="0"/>
            <c:spPr>
              <a:solidFill>
                <a:srgbClr val="00B050"/>
              </a:solidFill>
              <a:ln w="19050">
                <a:solidFill>
                  <a:schemeClr val="accent1">
                    <a:shade val="50000"/>
                    <a:alpha val="26000"/>
                  </a:schemeClr>
                </a:solidFill>
              </a:ln>
              <a:effectLst/>
            </c:spPr>
            <c:extLst>
              <c:ext xmlns:c16="http://schemas.microsoft.com/office/drawing/2014/chart" uri="{C3380CC4-5D6E-409C-BE32-E72D297353CC}">
                <c16:uniqueId val="{00000007-E1AC-4EFB-A497-317893D6B9E4}"/>
              </c:ext>
            </c:extLst>
          </c:dPt>
          <c:dPt>
            <c:idx val="4"/>
            <c:bubble3D val="0"/>
            <c:spPr>
              <a:solidFill>
                <a:schemeClr val="accent5"/>
              </a:solidFill>
              <a:ln w="19050">
                <a:solidFill>
                  <a:schemeClr val="accent1">
                    <a:shade val="50000"/>
                    <a:alpha val="26000"/>
                  </a:schemeClr>
                </a:solidFill>
              </a:ln>
              <a:effectLst/>
            </c:spPr>
            <c:extLst>
              <c:ext xmlns:c16="http://schemas.microsoft.com/office/drawing/2014/chart" uri="{C3380CC4-5D6E-409C-BE32-E72D297353CC}">
                <c16:uniqueId val="{00000009-E1AC-4EFB-A497-317893D6B9E4}"/>
              </c:ext>
            </c:extLst>
          </c:dPt>
          <c:dPt>
            <c:idx val="5"/>
            <c:bubble3D val="0"/>
            <c:spPr>
              <a:solidFill>
                <a:schemeClr val="tx1">
                  <a:lumMod val="50000"/>
                  <a:lumOff val="50000"/>
                </a:schemeClr>
              </a:solidFill>
              <a:ln w="19050">
                <a:solidFill>
                  <a:schemeClr val="accent1">
                    <a:shade val="50000"/>
                    <a:alpha val="26000"/>
                  </a:schemeClr>
                </a:solidFill>
              </a:ln>
              <a:effectLst/>
            </c:spPr>
            <c:extLst>
              <c:ext xmlns:c16="http://schemas.microsoft.com/office/drawing/2014/chart" uri="{C3380CC4-5D6E-409C-BE32-E72D297353CC}">
                <c16:uniqueId val="{0000000B-E1AC-4EFB-A497-317893D6B9E4}"/>
              </c:ext>
            </c:extLst>
          </c:dPt>
          <c:dLbls>
            <c:dLbl>
              <c:idx val="0"/>
              <c:layout>
                <c:manualLayout>
                  <c:x val="-5.8989085006522862E-2"/>
                  <c:y val="0.22481758716174099"/>
                </c:manualLayout>
              </c:layout>
              <c:tx>
                <c:rich>
                  <a:bodyPr/>
                  <a:lstStyle/>
                  <a:p>
                    <a:fld id="{ADE74998-9E37-4EEE-9110-1C06CD062188}" type="VALUE">
                      <a:rPr lang="en-US" sz="1000"/>
                      <a:pPr/>
                      <a:t>[VALUE]</a:t>
                    </a:fld>
                    <a:endParaRPr lang="en-KE"/>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1AC-4EFB-A497-317893D6B9E4}"/>
                </c:ext>
              </c:extLst>
            </c:dLbl>
            <c:dLbl>
              <c:idx val="1"/>
              <c:layout>
                <c:manualLayout>
                  <c:x val="1.1797817001304537E-2"/>
                  <c:y val="0.3474453619772360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AC-4EFB-A497-317893D6B9E4}"/>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1AC-4EFB-A497-317893D6B9E4}"/>
                </c:ext>
              </c:extLst>
            </c:dLbl>
            <c:dLbl>
              <c:idx val="3"/>
              <c:layout>
                <c:manualLayout>
                  <c:x val="1.9889495840432998E-2"/>
                  <c:y val="-0.162711951267557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1AC-4EFB-A497-317893D6B9E4}"/>
                </c:ext>
              </c:extLst>
            </c:dLbl>
            <c:dLbl>
              <c:idx val="5"/>
              <c:layout>
                <c:manualLayout>
                  <c:x val="-3.1460845336812232E-2"/>
                  <c:y val="3.406327078208194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E1AC-4EFB-A497-317893D6B9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s>
          <c:cat>
            <c:strRef>
              <c:f>Pivot!$G$3:$G$9</c:f>
              <c:strCache>
                <c:ptCount val="6"/>
                <c:pt idx="0">
                  <c:v>Funds received from 0701***640 -JOSEPHINE NDINDA MUIA</c:v>
                </c:pt>
                <c:pt idx="1">
                  <c:v>Funds received from 0706***380 - FAITH
SEITA SAIKITA</c:v>
                </c:pt>
                <c:pt idx="2">
                  <c:v>Funds received from 0793***735 - Jacob
muuo matata</c:v>
                </c:pt>
                <c:pt idx="3">
                  <c:v>Funds received from 254712***129 -JOSEPH GITONGA</c:v>
                </c:pt>
                <c:pt idx="4">
                  <c:v>Funds received from 254713***248 -Charles Mutunga Mutungi</c:v>
                </c:pt>
                <c:pt idx="5">
                  <c:v>Funds received from 254714***670 -Joseph gitonga M'birithia</c:v>
                </c:pt>
              </c:strCache>
            </c:strRef>
          </c:cat>
          <c:val>
            <c:numRef>
              <c:f>Pivot!$H$3:$H$9</c:f>
              <c:numCache>
                <c:formatCode>General</c:formatCode>
                <c:ptCount val="6"/>
                <c:pt idx="0">
                  <c:v>1030</c:v>
                </c:pt>
                <c:pt idx="1">
                  <c:v>1711</c:v>
                </c:pt>
                <c:pt idx="2">
                  <c:v>7785</c:v>
                </c:pt>
                <c:pt idx="3">
                  <c:v>36020</c:v>
                </c:pt>
                <c:pt idx="4">
                  <c:v>100</c:v>
                </c:pt>
                <c:pt idx="5">
                  <c:v>7000</c:v>
                </c:pt>
              </c:numCache>
            </c:numRef>
          </c:val>
          <c:extLst>
            <c:ext xmlns:c16="http://schemas.microsoft.com/office/drawing/2014/chart" uri="{C3380CC4-5D6E-409C-BE32-E72D297353CC}">
              <c16:uniqueId val="{0000000C-E1AC-4EFB-A497-317893D6B9E4}"/>
            </c:ext>
          </c:extLst>
        </c:ser>
        <c:dLbls>
          <c:showLegendKey val="0"/>
          <c:showVal val="0"/>
          <c:showCatName val="0"/>
          <c:showSerName val="0"/>
          <c:showPercent val="0"/>
          <c:showBubbleSize val="0"/>
          <c:showLeaderLines val="1"/>
        </c:dLbls>
        <c:firstSliceAng val="0"/>
        <c:holeSize val="57"/>
      </c:doughnutChart>
      <c:spPr>
        <a:noFill/>
        <a:ln>
          <a:solidFill>
            <a:schemeClr val="accent1">
              <a:shade val="50000"/>
              <a:alpha val="30000"/>
            </a:schemeClr>
          </a:solidFill>
        </a:ln>
        <a:effectLst/>
      </c:spPr>
    </c:plotArea>
    <c:legend>
      <c:legendPos val="r"/>
      <c:overlay val="0"/>
      <c:spPr>
        <a:noFill/>
        <a:ln>
          <a:solidFill>
            <a:schemeClr val="accent1">
              <a:shade val="50000"/>
              <a:alpha val="2000"/>
            </a:schemeClr>
          </a:solid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Statement As From April-September 2025.xlsm]Pivot!PivotTable6</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298172188471374"/>
          <c:y val="0.1424978481352783"/>
          <c:w val="0.64893820146839187"/>
          <c:h val="0.55238152522601347"/>
        </c:manualLayout>
      </c:layout>
      <c:barChart>
        <c:barDir val="col"/>
        <c:grouping val="stacked"/>
        <c:varyColors val="0"/>
        <c:ser>
          <c:idx val="0"/>
          <c:order val="0"/>
          <c:tx>
            <c:strRef>
              <c:f>Pivot!$O$3</c:f>
              <c:strCache>
                <c:ptCount val="1"/>
                <c:pt idx="0">
                  <c:v>Total</c:v>
                </c:pt>
              </c:strCache>
            </c:strRef>
          </c:tx>
          <c:spPr>
            <a:solidFill>
              <a:srgbClr val="FFC000"/>
            </a:solidFill>
            <a:ln>
              <a:noFill/>
            </a:ln>
            <a:effectLst/>
          </c:spPr>
          <c:invertIfNegative val="0"/>
          <c:cat>
            <c:multiLvlStrRef>
              <c:f>Pivot!$N$4:$N$23</c:f>
              <c:multiLvlStrCache>
                <c:ptCount val="16"/>
                <c:lvl>
                  <c:pt idx="0">
                    <c:v>Sun</c:v>
                  </c:pt>
                  <c:pt idx="1">
                    <c:v>Mon</c:v>
                  </c:pt>
                  <c:pt idx="2">
                    <c:v>Tue</c:v>
                  </c:pt>
                  <c:pt idx="3">
                    <c:v>Wed</c:v>
                  </c:pt>
                  <c:pt idx="4">
                    <c:v>Thu</c:v>
                  </c:pt>
                  <c:pt idx="5">
                    <c:v>Fri</c:v>
                  </c:pt>
                  <c:pt idx="6">
                    <c:v>Sat</c:v>
                  </c:pt>
                  <c:pt idx="7">
                    <c:v>Sun</c:v>
                  </c:pt>
                  <c:pt idx="8">
                    <c:v>Mon</c:v>
                  </c:pt>
                  <c:pt idx="9">
                    <c:v>Tue</c:v>
                  </c:pt>
                  <c:pt idx="10">
                    <c:v>Wed</c:v>
                  </c:pt>
                  <c:pt idx="11">
                    <c:v>Thu</c:v>
                  </c:pt>
                  <c:pt idx="12">
                    <c:v>Fri</c:v>
                  </c:pt>
                  <c:pt idx="13">
                    <c:v>Sat</c:v>
                  </c:pt>
                  <c:pt idx="14">
                    <c:v>Mon</c:v>
                  </c:pt>
                  <c:pt idx="15">
                    <c:v>Tue</c:v>
                  </c:pt>
                </c:lvl>
                <c:lvl>
                  <c:pt idx="0">
                    <c:v>Jul</c:v>
                  </c:pt>
                  <c:pt idx="7">
                    <c:v>Aug</c:v>
                  </c:pt>
                  <c:pt idx="14">
                    <c:v>Sep</c:v>
                  </c:pt>
                </c:lvl>
              </c:multiLvlStrCache>
            </c:multiLvlStrRef>
          </c:cat>
          <c:val>
            <c:numRef>
              <c:f>Pivot!$O$4:$O$23</c:f>
              <c:numCache>
                <c:formatCode>General</c:formatCode>
                <c:ptCount val="16"/>
                <c:pt idx="0">
                  <c:v>3927</c:v>
                </c:pt>
                <c:pt idx="1">
                  <c:v>8552</c:v>
                </c:pt>
                <c:pt idx="2">
                  <c:v>5646</c:v>
                </c:pt>
                <c:pt idx="3">
                  <c:v>3398</c:v>
                </c:pt>
                <c:pt idx="4">
                  <c:v>31521</c:v>
                </c:pt>
                <c:pt idx="5">
                  <c:v>18677</c:v>
                </c:pt>
                <c:pt idx="6">
                  <c:v>2817</c:v>
                </c:pt>
                <c:pt idx="7">
                  <c:v>13000</c:v>
                </c:pt>
                <c:pt idx="8">
                  <c:v>53550</c:v>
                </c:pt>
                <c:pt idx="9">
                  <c:v>45862</c:v>
                </c:pt>
                <c:pt idx="10">
                  <c:v>33889</c:v>
                </c:pt>
                <c:pt idx="11">
                  <c:v>15368</c:v>
                </c:pt>
                <c:pt idx="12">
                  <c:v>36805</c:v>
                </c:pt>
                <c:pt idx="13">
                  <c:v>25047</c:v>
                </c:pt>
                <c:pt idx="14">
                  <c:v>276784</c:v>
                </c:pt>
                <c:pt idx="15">
                  <c:v>85342</c:v>
                </c:pt>
              </c:numCache>
            </c:numRef>
          </c:val>
          <c:extLst>
            <c:ext xmlns:c16="http://schemas.microsoft.com/office/drawing/2014/chart" uri="{C3380CC4-5D6E-409C-BE32-E72D297353CC}">
              <c16:uniqueId val="{00000000-EC47-43EC-9BA0-1E315330AD4E}"/>
            </c:ext>
          </c:extLst>
        </c:ser>
        <c:dLbls>
          <c:showLegendKey val="0"/>
          <c:showVal val="0"/>
          <c:showCatName val="0"/>
          <c:showSerName val="0"/>
          <c:showPercent val="0"/>
          <c:showBubbleSize val="0"/>
        </c:dLbls>
        <c:gapWidth val="30"/>
        <c:overlap val="100"/>
        <c:axId val="27814672"/>
        <c:axId val="27819248"/>
      </c:barChart>
      <c:catAx>
        <c:axId val="2781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7819248"/>
        <c:crosses val="autoZero"/>
        <c:auto val="1"/>
        <c:lblAlgn val="ctr"/>
        <c:lblOffset val="100"/>
        <c:noMultiLvlLbl val="0"/>
      </c:catAx>
      <c:valAx>
        <c:axId val="278192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7814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9525</xdr:rowOff>
    </xdr:from>
    <xdr:to>
      <xdr:col>21</xdr:col>
      <xdr:colOff>9525</xdr:colOff>
      <xdr:row>34</xdr:row>
      <xdr:rowOff>85725</xdr:rowOff>
    </xdr:to>
    <xdr:sp macro="" textlink="">
      <xdr:nvSpPr>
        <xdr:cNvPr id="2" name="Rectangle 1">
          <a:extLst>
            <a:ext uri="{FF2B5EF4-FFF2-40B4-BE49-F238E27FC236}">
              <a16:creationId xmlns:a16="http://schemas.microsoft.com/office/drawing/2014/main" id="{ECC8C135-4B9B-4757-8B6D-B7197737AFDF}"/>
            </a:ext>
          </a:extLst>
        </xdr:cNvPr>
        <xdr:cNvSpPr/>
      </xdr:nvSpPr>
      <xdr:spPr>
        <a:xfrm>
          <a:off x="19050" y="9525"/>
          <a:ext cx="12792075" cy="6553200"/>
        </a:xfrm>
        <a:prstGeom prst="rect">
          <a:avLst/>
        </a:prstGeom>
        <a:solidFill>
          <a:schemeClr val="tx1">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solidFill>
              <a:srgbClr val="FF0000"/>
            </a:solidFill>
          </a:endParaRPr>
        </a:p>
      </xdr:txBody>
    </xdr:sp>
    <xdr:clientData/>
  </xdr:twoCellAnchor>
  <xdr:twoCellAnchor>
    <xdr:from>
      <xdr:col>2</xdr:col>
      <xdr:colOff>14287</xdr:colOff>
      <xdr:row>0</xdr:row>
      <xdr:rowOff>66674</xdr:rowOff>
    </xdr:from>
    <xdr:to>
      <xdr:col>5</xdr:col>
      <xdr:colOff>271462</xdr:colOff>
      <xdr:row>15</xdr:row>
      <xdr:rowOff>130969</xdr:rowOff>
    </xdr:to>
    <xdr:sp macro="" textlink="">
      <xdr:nvSpPr>
        <xdr:cNvPr id="3" name="Rectangle: Rounded Corners 2">
          <a:extLst>
            <a:ext uri="{FF2B5EF4-FFF2-40B4-BE49-F238E27FC236}">
              <a16:creationId xmlns:a16="http://schemas.microsoft.com/office/drawing/2014/main" id="{57793D70-5088-418D-B50F-FC971A0A80F8}"/>
            </a:ext>
          </a:extLst>
        </xdr:cNvPr>
        <xdr:cNvSpPr/>
      </xdr:nvSpPr>
      <xdr:spPr>
        <a:xfrm>
          <a:off x="1228725" y="66674"/>
          <a:ext cx="2078831" cy="2921795"/>
        </a:xfrm>
        <a:prstGeom prst="roundRect">
          <a:avLst>
            <a:gd name="adj" fmla="val 11188"/>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2</xdr:col>
      <xdr:colOff>2383</xdr:colOff>
      <xdr:row>15</xdr:row>
      <xdr:rowOff>178594</xdr:rowOff>
    </xdr:from>
    <xdr:to>
      <xdr:col>5</xdr:col>
      <xdr:colOff>278608</xdr:colOff>
      <xdr:row>33</xdr:row>
      <xdr:rowOff>28575</xdr:rowOff>
    </xdr:to>
    <xdr:sp macro="" textlink="">
      <xdr:nvSpPr>
        <xdr:cNvPr id="4" name="Rectangle: Rounded Corners 3">
          <a:extLst>
            <a:ext uri="{FF2B5EF4-FFF2-40B4-BE49-F238E27FC236}">
              <a16:creationId xmlns:a16="http://schemas.microsoft.com/office/drawing/2014/main" id="{779286AB-1750-41F1-BF1B-D2CBF00A7949}"/>
            </a:ext>
          </a:extLst>
        </xdr:cNvPr>
        <xdr:cNvSpPr/>
      </xdr:nvSpPr>
      <xdr:spPr>
        <a:xfrm>
          <a:off x="1216821" y="3036094"/>
          <a:ext cx="2097881" cy="3278981"/>
        </a:xfrm>
        <a:prstGeom prst="roundRect">
          <a:avLst>
            <a:gd name="adj" fmla="val 11598"/>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342900</xdr:colOff>
      <xdr:row>0</xdr:row>
      <xdr:rowOff>38101</xdr:rowOff>
    </xdr:from>
    <xdr:to>
      <xdr:col>20</xdr:col>
      <xdr:colOff>523875</xdr:colOff>
      <xdr:row>5</xdr:row>
      <xdr:rowOff>142875</xdr:rowOff>
    </xdr:to>
    <xdr:sp macro="" textlink="">
      <xdr:nvSpPr>
        <xdr:cNvPr id="6" name="Rectangle: Rounded Corners 5">
          <a:extLst>
            <a:ext uri="{FF2B5EF4-FFF2-40B4-BE49-F238E27FC236}">
              <a16:creationId xmlns:a16="http://schemas.microsoft.com/office/drawing/2014/main" id="{23C8923C-EB66-47F7-A394-764EEBF39234}"/>
            </a:ext>
          </a:extLst>
        </xdr:cNvPr>
        <xdr:cNvSpPr/>
      </xdr:nvSpPr>
      <xdr:spPr>
        <a:xfrm>
          <a:off x="3390900" y="38101"/>
          <a:ext cx="9324975" cy="10572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333375</xdr:colOff>
      <xdr:row>5</xdr:row>
      <xdr:rowOff>171451</xdr:rowOff>
    </xdr:from>
    <xdr:to>
      <xdr:col>10</xdr:col>
      <xdr:colOff>66674</xdr:colOff>
      <xdr:row>10</xdr:row>
      <xdr:rowOff>38101</xdr:rowOff>
    </xdr:to>
    <xdr:sp macro="" textlink="Pivot!S3">
      <xdr:nvSpPr>
        <xdr:cNvPr id="7" name="Rectangle: Rounded Corners 6">
          <a:extLst>
            <a:ext uri="{FF2B5EF4-FFF2-40B4-BE49-F238E27FC236}">
              <a16:creationId xmlns:a16="http://schemas.microsoft.com/office/drawing/2014/main" id="{3546AECE-6EAC-42B3-9399-64BB74AC917E}"/>
            </a:ext>
          </a:extLst>
        </xdr:cNvPr>
        <xdr:cNvSpPr/>
      </xdr:nvSpPr>
      <xdr:spPr>
        <a:xfrm>
          <a:off x="3381375" y="1123951"/>
          <a:ext cx="2781299" cy="819150"/>
        </a:xfrm>
        <a:prstGeom prst="roundRect">
          <a:avLst>
            <a:gd name="adj" fmla="val 13063"/>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800">
            <a:solidFill>
              <a:schemeClr val="bg1"/>
            </a:solidFill>
          </a:endParaRPr>
        </a:p>
      </xdr:txBody>
    </xdr:sp>
    <xdr:clientData/>
  </xdr:twoCellAnchor>
  <xdr:twoCellAnchor>
    <xdr:from>
      <xdr:col>9</xdr:col>
      <xdr:colOff>161925</xdr:colOff>
      <xdr:row>10</xdr:row>
      <xdr:rowOff>133350</xdr:rowOff>
    </xdr:from>
    <xdr:to>
      <xdr:col>15</xdr:col>
      <xdr:colOff>28575</xdr:colOff>
      <xdr:row>22</xdr:row>
      <xdr:rowOff>85725</xdr:rowOff>
    </xdr:to>
    <xdr:sp macro="" textlink="">
      <xdr:nvSpPr>
        <xdr:cNvPr id="8" name="Rectangle: Rounded Corners 7">
          <a:extLst>
            <a:ext uri="{FF2B5EF4-FFF2-40B4-BE49-F238E27FC236}">
              <a16:creationId xmlns:a16="http://schemas.microsoft.com/office/drawing/2014/main" id="{61447689-6BE0-4B73-BE04-B73DEA572153}"/>
            </a:ext>
          </a:extLst>
        </xdr:cNvPr>
        <xdr:cNvSpPr/>
      </xdr:nvSpPr>
      <xdr:spPr>
        <a:xfrm>
          <a:off x="5648325" y="2038350"/>
          <a:ext cx="3524250" cy="2238375"/>
        </a:xfrm>
        <a:prstGeom prst="roundRect">
          <a:avLst>
            <a:gd name="adj" fmla="val 10731"/>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solidFill>
              <a:schemeClr val="accent2"/>
            </a:solidFill>
          </a:endParaRPr>
        </a:p>
      </xdr:txBody>
    </xdr:sp>
    <xdr:clientData/>
  </xdr:twoCellAnchor>
  <xdr:twoCellAnchor>
    <xdr:from>
      <xdr:col>15</xdr:col>
      <xdr:colOff>104774</xdr:colOff>
      <xdr:row>6</xdr:row>
      <xdr:rowOff>0</xdr:rowOff>
    </xdr:from>
    <xdr:to>
      <xdr:col>20</xdr:col>
      <xdr:colOff>609599</xdr:colOff>
      <xdr:row>16</xdr:row>
      <xdr:rowOff>180975</xdr:rowOff>
    </xdr:to>
    <xdr:sp macro="" textlink="">
      <xdr:nvSpPr>
        <xdr:cNvPr id="9" name="Rectangle: Rounded Corners 8">
          <a:extLst>
            <a:ext uri="{FF2B5EF4-FFF2-40B4-BE49-F238E27FC236}">
              <a16:creationId xmlns:a16="http://schemas.microsoft.com/office/drawing/2014/main" id="{4D1D7FD6-B008-4A9F-90EE-276777EC7693}"/>
            </a:ext>
          </a:extLst>
        </xdr:cNvPr>
        <xdr:cNvSpPr/>
      </xdr:nvSpPr>
      <xdr:spPr>
        <a:xfrm>
          <a:off x="9248774" y="1143000"/>
          <a:ext cx="3552825" cy="2085975"/>
        </a:xfrm>
        <a:prstGeom prst="roundRect">
          <a:avLst>
            <a:gd name="adj" fmla="val 10275"/>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333376</xdr:colOff>
      <xdr:row>10</xdr:row>
      <xdr:rowOff>123825</xdr:rowOff>
    </xdr:from>
    <xdr:to>
      <xdr:col>9</xdr:col>
      <xdr:colOff>123826</xdr:colOff>
      <xdr:row>33</xdr:row>
      <xdr:rowOff>9525</xdr:rowOff>
    </xdr:to>
    <xdr:sp macro="" textlink="">
      <xdr:nvSpPr>
        <xdr:cNvPr id="10" name="Rectangle: Rounded Corners 9">
          <a:extLst>
            <a:ext uri="{FF2B5EF4-FFF2-40B4-BE49-F238E27FC236}">
              <a16:creationId xmlns:a16="http://schemas.microsoft.com/office/drawing/2014/main" id="{2DA9C350-A5C3-4C77-A246-E0CAACF65A2D}"/>
            </a:ext>
          </a:extLst>
        </xdr:cNvPr>
        <xdr:cNvSpPr/>
      </xdr:nvSpPr>
      <xdr:spPr>
        <a:xfrm>
          <a:off x="3381376" y="2028825"/>
          <a:ext cx="2228850" cy="4267200"/>
        </a:xfrm>
        <a:prstGeom prst="roundRect">
          <a:avLst>
            <a:gd name="adj" fmla="val 12821"/>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9</xdr:col>
      <xdr:colOff>195263</xdr:colOff>
      <xdr:row>22</xdr:row>
      <xdr:rowOff>135730</xdr:rowOff>
    </xdr:from>
    <xdr:to>
      <xdr:col>15</xdr:col>
      <xdr:colOff>61913</xdr:colOff>
      <xdr:row>33</xdr:row>
      <xdr:rowOff>126205</xdr:rowOff>
    </xdr:to>
    <xdr:sp macro="" textlink="">
      <xdr:nvSpPr>
        <xdr:cNvPr id="11" name="Rectangle: Rounded Corners 10">
          <a:extLst>
            <a:ext uri="{FF2B5EF4-FFF2-40B4-BE49-F238E27FC236}">
              <a16:creationId xmlns:a16="http://schemas.microsoft.com/office/drawing/2014/main" id="{D587CAD5-D1C9-4973-98C8-30F42B698D07}"/>
            </a:ext>
          </a:extLst>
        </xdr:cNvPr>
        <xdr:cNvSpPr/>
      </xdr:nvSpPr>
      <xdr:spPr>
        <a:xfrm>
          <a:off x="5660232" y="4326730"/>
          <a:ext cx="3509962" cy="2085975"/>
        </a:xfrm>
        <a:prstGeom prst="roundRect">
          <a:avLst>
            <a:gd name="adj" fmla="val 11484"/>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95250</xdr:colOff>
      <xdr:row>17</xdr:row>
      <xdr:rowOff>19050</xdr:rowOff>
    </xdr:from>
    <xdr:to>
      <xdr:col>20</xdr:col>
      <xdr:colOff>571500</xdr:colOff>
      <xdr:row>33</xdr:row>
      <xdr:rowOff>104775</xdr:rowOff>
    </xdr:to>
    <xdr:sp macro="" textlink="">
      <xdr:nvSpPr>
        <xdr:cNvPr id="12" name="Rectangle: Rounded Corners 11">
          <a:extLst>
            <a:ext uri="{FF2B5EF4-FFF2-40B4-BE49-F238E27FC236}">
              <a16:creationId xmlns:a16="http://schemas.microsoft.com/office/drawing/2014/main" id="{FAA387C1-951C-4E04-BA19-0C16735C3E60}"/>
            </a:ext>
          </a:extLst>
        </xdr:cNvPr>
        <xdr:cNvSpPr/>
      </xdr:nvSpPr>
      <xdr:spPr>
        <a:xfrm>
          <a:off x="9239250" y="3257550"/>
          <a:ext cx="3524250" cy="3133725"/>
        </a:xfrm>
        <a:prstGeom prst="roundRect">
          <a:avLst>
            <a:gd name="adj" fmla="val 10588"/>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6</xdr:col>
      <xdr:colOff>219074</xdr:colOff>
      <xdr:row>1</xdr:row>
      <xdr:rowOff>76201</xdr:rowOff>
    </xdr:from>
    <xdr:to>
      <xdr:col>20</xdr:col>
      <xdr:colOff>247649</xdr:colOff>
      <xdr:row>4</xdr:row>
      <xdr:rowOff>171451</xdr:rowOff>
    </xdr:to>
    <xdr:sp macro="" textlink="">
      <xdr:nvSpPr>
        <xdr:cNvPr id="13" name="TextBox 12">
          <a:extLst>
            <a:ext uri="{FF2B5EF4-FFF2-40B4-BE49-F238E27FC236}">
              <a16:creationId xmlns:a16="http://schemas.microsoft.com/office/drawing/2014/main" id="{EE2755FA-47D6-4B18-B6E0-CF3003C80BFC}"/>
            </a:ext>
          </a:extLst>
        </xdr:cNvPr>
        <xdr:cNvSpPr txBox="1"/>
      </xdr:nvSpPr>
      <xdr:spPr>
        <a:xfrm>
          <a:off x="3876674" y="266701"/>
          <a:ext cx="85629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bg1"/>
              </a:solidFill>
            </a:rPr>
            <a:t>FAITH'S MPESA STATEMENT</a:t>
          </a:r>
          <a:r>
            <a:rPr lang="en-US" sz="2800" baseline="0">
              <a:solidFill>
                <a:schemeClr val="bg1"/>
              </a:solidFill>
            </a:rPr>
            <a:t> DASHBOARD AS AT JUN-SEP</a:t>
          </a:r>
          <a:endParaRPr lang="en-KE" sz="2800">
            <a:solidFill>
              <a:schemeClr val="bg1"/>
            </a:solidFill>
          </a:endParaRPr>
        </a:p>
      </xdr:txBody>
    </xdr:sp>
    <xdr:clientData/>
  </xdr:twoCellAnchor>
  <xdr:twoCellAnchor>
    <xdr:from>
      <xdr:col>10</xdr:col>
      <xdr:colOff>123825</xdr:colOff>
      <xdr:row>5</xdr:row>
      <xdr:rowOff>180975</xdr:rowOff>
    </xdr:from>
    <xdr:to>
      <xdr:col>15</xdr:col>
      <xdr:colOff>57150</xdr:colOff>
      <xdr:row>10</xdr:row>
      <xdr:rowOff>47625</xdr:rowOff>
    </xdr:to>
    <xdr:sp macro="" textlink="">
      <xdr:nvSpPr>
        <xdr:cNvPr id="14" name="Rectangle: Rounded Corners 13">
          <a:extLst>
            <a:ext uri="{FF2B5EF4-FFF2-40B4-BE49-F238E27FC236}">
              <a16:creationId xmlns:a16="http://schemas.microsoft.com/office/drawing/2014/main" id="{2AA15E6B-7B4D-44D3-AC86-902472F45C73}"/>
            </a:ext>
          </a:extLst>
        </xdr:cNvPr>
        <xdr:cNvSpPr/>
      </xdr:nvSpPr>
      <xdr:spPr>
        <a:xfrm>
          <a:off x="6219825" y="1133475"/>
          <a:ext cx="2981325" cy="819150"/>
        </a:xfrm>
        <a:prstGeom prst="roundRect">
          <a:avLst>
            <a:gd name="adj" fmla="val 13063"/>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438149</xdr:colOff>
      <xdr:row>7</xdr:row>
      <xdr:rowOff>57150</xdr:rowOff>
    </xdr:from>
    <xdr:to>
      <xdr:col>9</xdr:col>
      <xdr:colOff>571500</xdr:colOff>
      <xdr:row>9</xdr:row>
      <xdr:rowOff>19050</xdr:rowOff>
    </xdr:to>
    <xdr:sp macro="" textlink="Pivot!S3">
      <xdr:nvSpPr>
        <xdr:cNvPr id="15" name="TextBox 14">
          <a:extLst>
            <a:ext uri="{FF2B5EF4-FFF2-40B4-BE49-F238E27FC236}">
              <a16:creationId xmlns:a16="http://schemas.microsoft.com/office/drawing/2014/main" id="{9CA5CB45-493B-46A5-928B-AE358A423D93}"/>
            </a:ext>
          </a:extLst>
        </xdr:cNvPr>
        <xdr:cNvSpPr txBox="1"/>
      </xdr:nvSpPr>
      <xdr:spPr>
        <a:xfrm>
          <a:off x="3486149" y="1390650"/>
          <a:ext cx="257175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bg1"/>
              </a:solidFill>
              <a:latin typeface="Calibri"/>
              <a:cs typeface="Calibri"/>
            </a:rPr>
            <a:t>AMOUNT SPENT=</a:t>
          </a:r>
          <a:fld id="{D527EA9A-12AA-4D83-8B3F-34ED79BBC550}" type="TxLink">
            <a:rPr lang="en-US" sz="1600" b="1" i="0" u="none" strike="noStrike">
              <a:solidFill>
                <a:schemeClr val="bg1"/>
              </a:solidFill>
              <a:latin typeface="Calibri"/>
              <a:cs typeface="Calibri"/>
            </a:rPr>
            <a:pPr/>
            <a:t>Ksh25,276</a:t>
          </a:fld>
          <a:endParaRPr lang="en-KE" sz="1600" b="1">
            <a:solidFill>
              <a:schemeClr val="bg1"/>
            </a:solidFill>
          </a:endParaRPr>
        </a:p>
      </xdr:txBody>
    </xdr:sp>
    <xdr:clientData/>
  </xdr:twoCellAnchor>
  <xdr:twoCellAnchor>
    <xdr:from>
      <xdr:col>10</xdr:col>
      <xdr:colOff>161926</xdr:colOff>
      <xdr:row>7</xdr:row>
      <xdr:rowOff>57150</xdr:rowOff>
    </xdr:from>
    <xdr:to>
      <xdr:col>15</xdr:col>
      <xdr:colOff>171450</xdr:colOff>
      <xdr:row>9</xdr:row>
      <xdr:rowOff>19050</xdr:rowOff>
    </xdr:to>
    <xdr:sp macro="" textlink="Pivot!S3">
      <xdr:nvSpPr>
        <xdr:cNvPr id="16" name="TextBox 15">
          <a:extLst>
            <a:ext uri="{FF2B5EF4-FFF2-40B4-BE49-F238E27FC236}">
              <a16:creationId xmlns:a16="http://schemas.microsoft.com/office/drawing/2014/main" id="{FFC1423B-D84E-4086-9E9E-30A248CE1680}"/>
            </a:ext>
          </a:extLst>
        </xdr:cNvPr>
        <xdr:cNvSpPr txBox="1"/>
      </xdr:nvSpPr>
      <xdr:spPr>
        <a:xfrm>
          <a:off x="6257926" y="1390650"/>
          <a:ext cx="3057524"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bg1"/>
              </a:solidFill>
              <a:latin typeface="Calibri"/>
              <a:cs typeface="Calibri"/>
            </a:rPr>
            <a:t>AMOUNT RECEIVED=Ksh</a:t>
          </a:r>
          <a:r>
            <a:rPr lang="en-US" sz="1600" b="1" i="0" u="none" strike="noStrike" baseline="0">
              <a:solidFill>
                <a:schemeClr val="bg1"/>
              </a:solidFill>
              <a:latin typeface="Calibri"/>
              <a:cs typeface="Calibri"/>
            </a:rPr>
            <a:t> 53,646</a:t>
          </a:r>
          <a:endParaRPr lang="en-KE" sz="1600" b="1">
            <a:solidFill>
              <a:schemeClr val="bg1"/>
            </a:solidFill>
          </a:endParaRPr>
        </a:p>
      </xdr:txBody>
    </xdr:sp>
    <xdr:clientData/>
  </xdr:twoCellAnchor>
  <xdr:twoCellAnchor>
    <xdr:from>
      <xdr:col>5</xdr:col>
      <xdr:colOff>371476</xdr:colOff>
      <xdr:row>10</xdr:row>
      <xdr:rowOff>133350</xdr:rowOff>
    </xdr:from>
    <xdr:to>
      <xdr:col>9</xdr:col>
      <xdr:colOff>104775</xdr:colOff>
      <xdr:row>13</xdr:row>
      <xdr:rowOff>171450</xdr:rowOff>
    </xdr:to>
    <xdr:sp macro="" textlink="Pivot!S3">
      <xdr:nvSpPr>
        <xdr:cNvPr id="17" name="TextBox 16">
          <a:extLst>
            <a:ext uri="{FF2B5EF4-FFF2-40B4-BE49-F238E27FC236}">
              <a16:creationId xmlns:a16="http://schemas.microsoft.com/office/drawing/2014/main" id="{85012346-1641-4E01-9821-98CA563965D3}"/>
            </a:ext>
          </a:extLst>
        </xdr:cNvPr>
        <xdr:cNvSpPr txBox="1"/>
      </xdr:nvSpPr>
      <xdr:spPr>
        <a:xfrm>
          <a:off x="3419476" y="2038350"/>
          <a:ext cx="2171699"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a:solidFill>
                <a:schemeClr val="accent2"/>
              </a:solidFill>
              <a:effectLst/>
              <a:latin typeface="+mn-lt"/>
              <a:ea typeface="+mn-ea"/>
              <a:cs typeface="+mn-cs"/>
            </a:rPr>
            <a:t>MONTH</a:t>
          </a:r>
          <a:r>
            <a:rPr lang="en-US" sz="1400" b="0" i="0" baseline="0">
              <a:solidFill>
                <a:schemeClr val="accent2"/>
              </a:solidFill>
              <a:effectLst/>
              <a:latin typeface="+mn-lt"/>
              <a:ea typeface="+mn-ea"/>
              <a:cs typeface="+mn-cs"/>
            </a:rPr>
            <a:t> BY AMOUNT SENT TO OTHERS</a:t>
          </a:r>
          <a:endParaRPr lang="en-KE" sz="1400" b="0">
            <a:solidFill>
              <a:schemeClr val="accent2"/>
            </a:solidFill>
            <a:effectLst/>
          </a:endParaRPr>
        </a:p>
      </xdr:txBody>
    </xdr:sp>
    <xdr:clientData/>
  </xdr:twoCellAnchor>
  <xdr:twoCellAnchor>
    <xdr:from>
      <xdr:col>10</xdr:col>
      <xdr:colOff>266701</xdr:colOff>
      <xdr:row>10</xdr:row>
      <xdr:rowOff>152400</xdr:rowOff>
    </xdr:from>
    <xdr:to>
      <xdr:col>14</xdr:col>
      <xdr:colOff>76201</xdr:colOff>
      <xdr:row>12</xdr:row>
      <xdr:rowOff>57150</xdr:rowOff>
    </xdr:to>
    <xdr:sp macro="" textlink="">
      <xdr:nvSpPr>
        <xdr:cNvPr id="18" name="TextBox 17">
          <a:extLst>
            <a:ext uri="{FF2B5EF4-FFF2-40B4-BE49-F238E27FC236}">
              <a16:creationId xmlns:a16="http://schemas.microsoft.com/office/drawing/2014/main" id="{7BB9D0AA-01A5-4CA9-A30A-62E264A0D3CD}"/>
            </a:ext>
          </a:extLst>
        </xdr:cNvPr>
        <xdr:cNvSpPr txBox="1"/>
      </xdr:nvSpPr>
      <xdr:spPr>
        <a:xfrm>
          <a:off x="6362701" y="2057400"/>
          <a:ext cx="22479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SHOPS BY AMOUNT SENT</a:t>
          </a:r>
          <a:endParaRPr lang="en-KE" sz="1400">
            <a:solidFill>
              <a:schemeClr val="accent2"/>
            </a:solidFill>
          </a:endParaRPr>
        </a:p>
      </xdr:txBody>
    </xdr:sp>
    <xdr:clientData/>
  </xdr:twoCellAnchor>
  <xdr:twoCellAnchor>
    <xdr:from>
      <xdr:col>16</xdr:col>
      <xdr:colOff>28575</xdr:colOff>
      <xdr:row>6</xdr:row>
      <xdr:rowOff>47625</xdr:rowOff>
    </xdr:from>
    <xdr:to>
      <xdr:col>20</xdr:col>
      <xdr:colOff>133350</xdr:colOff>
      <xdr:row>7</xdr:row>
      <xdr:rowOff>180975</xdr:rowOff>
    </xdr:to>
    <xdr:sp macro="" textlink="">
      <xdr:nvSpPr>
        <xdr:cNvPr id="19" name="TextBox 18">
          <a:extLst>
            <a:ext uri="{FF2B5EF4-FFF2-40B4-BE49-F238E27FC236}">
              <a16:creationId xmlns:a16="http://schemas.microsoft.com/office/drawing/2014/main" id="{7CC44FB8-405B-4FEA-B785-5A45538D9340}"/>
            </a:ext>
          </a:extLst>
        </xdr:cNvPr>
        <xdr:cNvSpPr txBox="1"/>
      </xdr:nvSpPr>
      <xdr:spPr>
        <a:xfrm>
          <a:off x="9782175" y="1190625"/>
          <a:ext cx="25431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AMOUNT RECEIVED TO MPESA</a:t>
          </a:r>
          <a:endParaRPr lang="en-KE" sz="1400">
            <a:solidFill>
              <a:schemeClr val="accent2"/>
            </a:solidFill>
          </a:endParaRPr>
        </a:p>
      </xdr:txBody>
    </xdr:sp>
    <xdr:clientData/>
  </xdr:twoCellAnchor>
  <xdr:twoCellAnchor>
    <xdr:from>
      <xdr:col>10</xdr:col>
      <xdr:colOff>190500</xdr:colOff>
      <xdr:row>22</xdr:row>
      <xdr:rowOff>180975</xdr:rowOff>
    </xdr:from>
    <xdr:to>
      <xdr:col>14</xdr:col>
      <xdr:colOff>238125</xdr:colOff>
      <xdr:row>24</xdr:row>
      <xdr:rowOff>85725</xdr:rowOff>
    </xdr:to>
    <xdr:sp macro="" textlink="">
      <xdr:nvSpPr>
        <xdr:cNvPr id="20" name="TextBox 19">
          <a:extLst>
            <a:ext uri="{FF2B5EF4-FFF2-40B4-BE49-F238E27FC236}">
              <a16:creationId xmlns:a16="http://schemas.microsoft.com/office/drawing/2014/main" id="{98C715D5-9E49-4CBD-95D5-3106276537A5}"/>
            </a:ext>
          </a:extLst>
        </xdr:cNvPr>
        <xdr:cNvSpPr txBox="1"/>
      </xdr:nvSpPr>
      <xdr:spPr>
        <a:xfrm>
          <a:off x="6286500" y="4371975"/>
          <a:ext cx="24860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MONTH</a:t>
          </a:r>
          <a:r>
            <a:rPr lang="en-US" sz="1400" baseline="0">
              <a:solidFill>
                <a:schemeClr val="accent2"/>
              </a:solidFill>
            </a:rPr>
            <a:t> BY AMOUNT RECEIVED</a:t>
          </a:r>
          <a:endParaRPr lang="en-KE" sz="1400">
            <a:solidFill>
              <a:schemeClr val="accent2"/>
            </a:solidFill>
          </a:endParaRPr>
        </a:p>
      </xdr:txBody>
    </xdr:sp>
    <xdr:clientData/>
  </xdr:twoCellAnchor>
  <xdr:twoCellAnchor>
    <xdr:from>
      <xdr:col>16</xdr:col>
      <xdr:colOff>238126</xdr:colOff>
      <xdr:row>17</xdr:row>
      <xdr:rowOff>66675</xdr:rowOff>
    </xdr:from>
    <xdr:to>
      <xdr:col>20</xdr:col>
      <xdr:colOff>104776</xdr:colOff>
      <xdr:row>19</xdr:row>
      <xdr:rowOff>19050</xdr:rowOff>
    </xdr:to>
    <xdr:sp macro="" textlink="">
      <xdr:nvSpPr>
        <xdr:cNvPr id="21" name="TextBox 20">
          <a:extLst>
            <a:ext uri="{FF2B5EF4-FFF2-40B4-BE49-F238E27FC236}">
              <a16:creationId xmlns:a16="http://schemas.microsoft.com/office/drawing/2014/main" id="{586073D4-A446-4250-8A63-7506FD0ADC61}"/>
            </a:ext>
          </a:extLst>
        </xdr:cNvPr>
        <xdr:cNvSpPr txBox="1"/>
      </xdr:nvSpPr>
      <xdr:spPr>
        <a:xfrm>
          <a:off x="9991726" y="3305175"/>
          <a:ext cx="23050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MONTH BY MPESA BALANCE</a:t>
          </a:r>
          <a:endParaRPr lang="en-KE" sz="1400">
            <a:solidFill>
              <a:schemeClr val="accent2"/>
            </a:solidFill>
          </a:endParaRPr>
        </a:p>
      </xdr:txBody>
    </xdr:sp>
    <xdr:clientData/>
  </xdr:twoCellAnchor>
  <xdr:twoCellAnchor>
    <xdr:from>
      <xdr:col>5</xdr:col>
      <xdr:colOff>333374</xdr:colOff>
      <xdr:row>13</xdr:row>
      <xdr:rowOff>70246</xdr:rowOff>
    </xdr:from>
    <xdr:to>
      <xdr:col>9</xdr:col>
      <xdr:colOff>152399</xdr:colOff>
      <xdr:row>32</xdr:row>
      <xdr:rowOff>171450</xdr:rowOff>
    </xdr:to>
    <xdr:graphicFrame macro="">
      <xdr:nvGraphicFramePr>
        <xdr:cNvPr id="22" name="Chart 1">
          <a:extLst>
            <a:ext uri="{FF2B5EF4-FFF2-40B4-BE49-F238E27FC236}">
              <a16:creationId xmlns:a16="http://schemas.microsoft.com/office/drawing/2014/main" id="{726B66B5-856B-42D7-9BF9-53548436AC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161925</xdr:colOff>
      <xdr:row>11</xdr:row>
      <xdr:rowOff>142874</xdr:rowOff>
    </xdr:from>
    <xdr:to>
      <xdr:col>15</xdr:col>
      <xdr:colOff>19050</xdr:colOff>
      <xdr:row>22</xdr:row>
      <xdr:rowOff>38099</xdr:rowOff>
    </xdr:to>
    <xdr:graphicFrame macro="">
      <xdr:nvGraphicFramePr>
        <xdr:cNvPr id="23" name="Chart 2">
          <a:extLst>
            <a:ext uri="{FF2B5EF4-FFF2-40B4-BE49-F238E27FC236}">
              <a16:creationId xmlns:a16="http://schemas.microsoft.com/office/drawing/2014/main" id="{B5C1D292-1971-4D86-BC32-8E826F7595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542925</xdr:colOff>
      <xdr:row>22</xdr:row>
      <xdr:rowOff>107157</xdr:rowOff>
    </xdr:from>
    <xdr:to>
      <xdr:col>15</xdr:col>
      <xdr:colOff>447675</xdr:colOff>
      <xdr:row>35</xdr:row>
      <xdr:rowOff>95251</xdr:rowOff>
    </xdr:to>
    <xdr:graphicFrame macro="">
      <xdr:nvGraphicFramePr>
        <xdr:cNvPr id="24" name="Chart 3">
          <a:extLst>
            <a:ext uri="{FF2B5EF4-FFF2-40B4-BE49-F238E27FC236}">
              <a16:creationId xmlns:a16="http://schemas.microsoft.com/office/drawing/2014/main" id="{019069F2-00AA-49CA-B6F3-82218EE616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455083</xdr:colOff>
      <xdr:row>7</xdr:row>
      <xdr:rowOff>95251</xdr:rowOff>
    </xdr:from>
    <xdr:to>
      <xdr:col>20</xdr:col>
      <xdr:colOff>603251</xdr:colOff>
      <xdr:row>17</xdr:row>
      <xdr:rowOff>63500</xdr:rowOff>
    </xdr:to>
    <xdr:graphicFrame macro="">
      <xdr:nvGraphicFramePr>
        <xdr:cNvPr id="25" name="Chart 4">
          <a:extLst>
            <a:ext uri="{FF2B5EF4-FFF2-40B4-BE49-F238E27FC236}">
              <a16:creationId xmlns:a16="http://schemas.microsoft.com/office/drawing/2014/main" id="{0A81FF4E-6D23-4BAA-A4E3-3C5D0A492A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583407</xdr:colOff>
      <xdr:row>17</xdr:row>
      <xdr:rowOff>154782</xdr:rowOff>
    </xdr:from>
    <xdr:to>
      <xdr:col>20</xdr:col>
      <xdr:colOff>583406</xdr:colOff>
      <xdr:row>34</xdr:row>
      <xdr:rowOff>142876</xdr:rowOff>
    </xdr:to>
    <xdr:graphicFrame macro="">
      <xdr:nvGraphicFramePr>
        <xdr:cNvPr id="26" name="Chart 5">
          <a:extLst>
            <a:ext uri="{FF2B5EF4-FFF2-40B4-BE49-F238E27FC236}">
              <a16:creationId xmlns:a16="http://schemas.microsoft.com/office/drawing/2014/main" id="{4E4C6C17-C726-4C1E-BAE2-884A6C58EC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-1</xdr:colOff>
      <xdr:row>0</xdr:row>
      <xdr:rowOff>47625</xdr:rowOff>
    </xdr:from>
    <xdr:to>
      <xdr:col>5</xdr:col>
      <xdr:colOff>273843</xdr:colOff>
      <xdr:row>15</xdr:row>
      <xdr:rowOff>142875</xdr:rowOff>
    </xdr:to>
    <mc:AlternateContent xmlns:mc="http://schemas.openxmlformats.org/markup-compatibility/2006" xmlns:a14="http://schemas.microsoft.com/office/drawing/2010/main">
      <mc:Choice Requires="a14">
        <xdr:graphicFrame macro="">
          <xdr:nvGraphicFramePr>
            <xdr:cNvPr id="27" name="Month">
              <a:extLst>
                <a:ext uri="{FF2B5EF4-FFF2-40B4-BE49-F238E27FC236}">
                  <a16:creationId xmlns:a16="http://schemas.microsoft.com/office/drawing/2014/main" id="{4462387F-02C2-4F9B-A629-0A735D5129E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19199" y="47625"/>
              <a:ext cx="2102644" cy="295275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28575</xdr:colOff>
      <xdr:row>16</xdr:row>
      <xdr:rowOff>0</xdr:rowOff>
    </xdr:from>
    <xdr:to>
      <xdr:col>5</xdr:col>
      <xdr:colOff>266700</xdr:colOff>
      <xdr:row>32</xdr:row>
      <xdr:rowOff>171450</xdr:rowOff>
    </xdr:to>
    <mc:AlternateContent xmlns:mc="http://schemas.openxmlformats.org/markup-compatibility/2006" xmlns:a14="http://schemas.microsoft.com/office/drawing/2010/main">
      <mc:Choice Requires="a14">
        <xdr:graphicFrame macro="">
          <xdr:nvGraphicFramePr>
            <xdr:cNvPr id="32" name="Weekday">
              <a:extLst>
                <a:ext uri="{FF2B5EF4-FFF2-40B4-BE49-F238E27FC236}">
                  <a16:creationId xmlns:a16="http://schemas.microsoft.com/office/drawing/2014/main" id="{3E0B50A5-FDAC-44FD-871D-54F56AA552B4}"/>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247775" y="3048000"/>
              <a:ext cx="2066925" cy="321945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N1" refreshedDate="45902.178350578703" createdVersion="7" refreshedVersion="7" minRefreshableVersion="3" recordCount="259" xr:uid="{55839CC8-A375-42C2-BF1F-CF90DB041B28}">
  <cacheSource type="worksheet">
    <worksheetSource name="Table003__Page_1_9"/>
  </cacheSource>
  <cacheFields count="9">
    <cacheField name="Receipt No" numFmtId="0">
      <sharedItems/>
    </cacheField>
    <cacheField name="Transaction Completion Time" numFmtId="22">
      <sharedItems containsSemiMixedTypes="0" containsNonDate="0" containsDate="1" containsString="0" minDate="2025-07-06T09:07:54" maxDate="2025-09-02T11:39:59"/>
    </cacheField>
    <cacheField name="Details" numFmtId="0">
      <sharedItems count="41">
        <s v="Customer Payment to Small Business to_x000a_0701***917 - francis karahi rovega"/>
        <s v="Pay Bill Charge"/>
        <s v="Pay Bill Online to 4076749 - TINGG Acc._x000a_0732***250 incl of Ksh 1.00 Processing fee"/>
        <s v="Funds received from 254714***670 -Joseph gitonga M'birithia"/>
        <s v="Customer Payment to Small Business to_x000a_254721***731 - RAHAB WAMBUI_x000a_KIRUNYU"/>
        <s v="Merchant Payment to 7284452 - Rebecca_x000a_Wambui Njau"/>
        <s v="Customer Payment to Small Business to_x000a_0725***923 - Josphine Kamonya Mwanzi"/>
        <s v="Customer Transfer of Funds Charge"/>
        <s v="Customer Transfer to 0706***380 - FAITH_x000a_SEITA SAIKITA"/>
        <s v="Funds received from 254712***129 -JOSEPH GITONGA"/>
        <s v="Pay Bill Online to 4096963 - TRUTH_x000a_WIRELESS LIMITED Acc. TR19685"/>
        <s v="Customer Transfer to 0793***735 - Jacob_x000a_muuo matata"/>
        <s v="Merchant Payment to 7486510 - PHYLIS_x000a_WANJIRU MBUTHIA"/>
        <s v="Funds received from 0793***735 - Jacob_x000a_muuo matata"/>
        <s v="Merchant Payment to 7376529 - Eric_x000a_Kimathi Muthuri"/>
        <s v="Customer Transfer to 254701***163 - Sarah_x000a_Wanjiru Ndungu"/>
        <s v="Funds received from 0701***640 -JOSEPHINE NDINDA MUIA"/>
        <s v="Pay Bill Online to 4077063 - TINGG Acc._x000a_0782***028 incl of Ksh 1.00 Processing fee"/>
        <s v="Merchant Payment to 7103997 - ELIUD_x000a_KIARIE NGIGI"/>
        <s v="Funds received from 0706***380 - FAITH_x000a_SEITA SAIKITA"/>
        <s v="Customer Transfer to 254711***540 -MARY KEMUNTO OBAE"/>
        <s v="Pay Bill to 888880 - KPLC PREPAID Acc._x000a_92100442984"/>
        <s v="Customer Transfer to 254729***015 -RAHAB KAPHIRI"/>
        <s v="Pay Bill Online to 4076749 - TINGG Acc._x000a_0732***250 incl of Ksh 2.00 Processing fee"/>
        <s v="Merchant Payment to 7710375 - ANN_x000a_WAMBUI MAINA 1"/>
        <s v="Pay Bill Online to 4076749 - TINGG Acc._x000a_0782***028 incl of Ksh 1.00 Processing fee"/>
        <s v="Funds received from 254713***248 -Charles Mutunga Mutungi"/>
        <s v="Customer Payment to Small Business to_x000a_254725***623 - dominic wekesa"/>
        <s v="Pay Bill Online to 4076749 - TINGG Acc._x000a_254782***028"/>
        <s v="Customer Transfer to 0714***913 -NICHOLAS OCHIENG OMONDI"/>
        <s v="Pay Bill to 4030737 - WA JOSE SMART_x000a_WEAR 3 Acc. Florence"/>
        <s v="Customer Transfer to 0719***715 -CHARLES WANYIKA KIRUGU"/>
        <s v="Merchant Payment to 7363372 - LEAH_x000a_WAIRIMU NGACHU"/>
        <s v="Pay Bill Online to 4076749 - TINGG Acc._x000a_0782***028 incl of Ksh 2.00 Processing fee"/>
        <s v="Customer Transfer to 0798***025 - Felix_x000a_Ouma"/>
        <s v="Merchant Payment to 9294436 - SALOME_x000a_KWAMBOKA OGETO1"/>
        <s v="Pay Bill to 714888 - LOOP BIZ Acc. 223344"/>
        <s v="Merchant Payment Online to 9535302 -PATRICK KOMBE"/>
        <s v="Merchant Payment to 6105075 - MARGRET_x000a_KEMUNTO BATE ."/>
        <s v="Customer Payment to Small Business to_x000a_254710***037 - JOYCE WANJIKU_x000a_MWANGI"/>
        <s v="Customer Transfer to 254719***986 -EUNICE WANJIKU MUTUA"/>
      </sharedItems>
    </cacheField>
    <cacheField name="Amount Received to Mpesa" numFmtId="0">
      <sharedItems containsSemiMixedTypes="0" containsString="0" containsNumber="1" containsInteger="1" minValue="0" maxValue="30600"/>
    </cacheField>
    <cacheField name="Amount Sent to Others" numFmtId="0">
      <sharedItems containsSemiMixedTypes="0" containsString="0" containsNumber="1" containsInteger="1" minValue="0" maxValue="4400"/>
    </cacheField>
    <cacheField name="Mpesa Balance" numFmtId="0">
      <sharedItems containsSemiMixedTypes="0" containsString="0" containsNumber="1" containsInteger="1" minValue="0" maxValue="30603" count="220">
        <n v="28440"/>
        <n v="28450"/>
        <n v="28452"/>
        <n v="28463"/>
        <n v="26463"/>
        <n v="26513"/>
        <n v="27353"/>
        <n v="27393"/>
        <n v="27418"/>
        <n v="27425"/>
        <n v="27550"/>
        <n v="27603"/>
        <n v="30603"/>
        <n v="3"/>
        <n v="33"/>
        <n v="63"/>
        <n v="93"/>
        <n v="193"/>
        <n v="293"/>
        <n v="323"/>
        <n v="358"/>
        <n v="458"/>
        <n v="518"/>
        <n v="543"/>
        <n v="693"/>
        <n v="700"/>
        <n v="845"/>
        <n v="4000"/>
        <n v="4030"/>
        <n v="4029"/>
        <n v="4069"/>
        <n v="4139"/>
        <n v="4179"/>
        <n v="4209"/>
        <n v="4009"/>
        <n v="4044"/>
        <n v="4099"/>
        <n v="4054"/>
        <n v="4084"/>
        <n v="4134"/>
        <n v="4164"/>
        <n v="4064"/>
        <n v="4094"/>
        <n v="4119"/>
        <n v="4149"/>
        <n v="4160"/>
        <n v="4210"/>
        <n v="4250"/>
        <n v="4270"/>
        <n v="4300"/>
        <n v="4375"/>
        <n v="4334"/>
        <n v="4369"/>
        <n v="4399"/>
        <n v="4429"/>
        <n v="4459"/>
        <n v="4484"/>
        <n v="4499"/>
        <n v="4539"/>
        <n v="4569"/>
        <n v="4599"/>
        <n v="4734"/>
        <n v="4779"/>
        <n v="4796"/>
        <n v="4826"/>
        <n v="4851"/>
        <n v="4873"/>
        <n v="4903"/>
        <n v="4928"/>
        <n v="5088"/>
        <n v="5353"/>
        <n v="5453"/>
        <n v="5464"/>
        <n v="44"/>
        <n v="94"/>
        <n v="124"/>
        <n v="24"/>
        <n v="69"/>
        <n v="99"/>
        <n v="154"/>
        <n v="54"/>
        <n v="84"/>
        <n v="89"/>
        <n v="9"/>
        <n v="29"/>
        <n v="32"/>
        <n v="132"/>
        <n v="162"/>
        <n v="177"/>
        <n v="77"/>
        <n v="20"/>
        <n v="45"/>
        <n v="75"/>
        <n v="78"/>
        <n v="98"/>
        <n v="123"/>
        <n v="23"/>
        <n v="88"/>
        <n v="118"/>
        <n v="133"/>
        <n v="183"/>
        <n v="138"/>
        <n v="178"/>
        <n v="208"/>
        <n v="233"/>
        <n v="263"/>
        <n v="163"/>
        <n v="13"/>
        <n v="16"/>
        <n v="76"/>
        <n v="51"/>
        <n v="81"/>
        <n v="1"/>
        <n v="26"/>
        <n v="56"/>
        <n v="53"/>
        <n v="38"/>
        <n v="438"/>
        <n v="445"/>
        <n v="945"/>
        <n v="70"/>
        <n v="100"/>
        <n v="0"/>
        <n v="10"/>
        <n v="55"/>
        <n v="60"/>
        <n v="140"/>
        <n v="170"/>
        <n v="195"/>
        <n v="200"/>
        <n v="280"/>
        <n v="297"/>
        <n v="327"/>
        <n v="338"/>
        <n v="355"/>
        <n v="380"/>
        <n v="410"/>
        <n v="450"/>
        <n v="480"/>
        <n v="497"/>
        <n v="577"/>
        <n v="677"/>
        <n v="777"/>
        <n v="807"/>
        <n v="907"/>
        <n v="1007"/>
        <n v="7"/>
        <n v="95"/>
        <n v="15"/>
        <n v="116"/>
        <n v="128"/>
        <n v="28"/>
        <n v="58"/>
        <n v="113"/>
        <n v="148"/>
        <n v="213"/>
        <n v="243"/>
        <n v="288"/>
        <n v="299"/>
        <n v="329"/>
        <n v="354"/>
        <n v="404"/>
        <n v="429"/>
        <n v="469"/>
        <n v="499"/>
        <n v="529"/>
        <n v="554"/>
        <n v="569"/>
        <n v="584"/>
        <n v="634"/>
        <n v="664"/>
        <n v="698"/>
        <n v="5098"/>
        <n v="5109"/>
        <n v="1109"/>
        <n v="1009"/>
        <n v="39"/>
        <n v="59"/>
        <n v="139"/>
        <n v="109"/>
        <n v="12"/>
        <n v="42"/>
        <n v="72"/>
        <n v="83"/>
        <n v="418"/>
        <n v="447"/>
        <n v="468"/>
        <n v="498"/>
        <n v="528"/>
        <n v="581"/>
        <n v="3781"/>
        <n v="5016"/>
        <n v="5096"/>
        <n v="5196"/>
        <n v="5251"/>
        <n v="5273"/>
        <n v="273"/>
        <n v="303"/>
        <n v="333"/>
        <n v="388"/>
        <n v="503"/>
        <n v="403"/>
        <n v="373"/>
        <n v="393"/>
        <n v="453"/>
        <n v="508"/>
        <n v="538"/>
        <n v="583"/>
        <n v="613"/>
        <n v="658"/>
        <n v="158"/>
        <n v="218"/>
        <n v="248"/>
        <n v="308"/>
        <n v="8"/>
        <n v="21"/>
        <n v="27"/>
        <n v="34"/>
        <n v="534"/>
        <n v="40"/>
      </sharedItems>
    </cacheField>
    <cacheField name="Month" numFmtId="0">
      <sharedItems count="3">
        <s v="Sep"/>
        <s v="Aug"/>
        <s v="Jul"/>
      </sharedItems>
    </cacheField>
    <cacheField name="Weekday" numFmtId="0">
      <sharedItems count="7">
        <s v="Tue"/>
        <s v="Mon"/>
        <s v="Sun"/>
        <s v="Sat"/>
        <s v="Fri"/>
        <s v="Thu"/>
        <s v="Wed"/>
      </sharedItems>
    </cacheField>
    <cacheField name="Year" numFmtId="0">
      <sharedItems/>
    </cacheField>
  </cacheFields>
  <extLst>
    <ext xmlns:x14="http://schemas.microsoft.com/office/spreadsheetml/2009/9/main" uri="{725AE2AE-9491-48be-B2B4-4EB974FC3084}">
      <x14:pivotCacheDefinition pivotCacheId="14836728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9">
  <r>
    <s v="TI241QJH4M"/>
    <d v="2025-09-02T11:39:59"/>
    <x v="0"/>
    <n v="0"/>
    <n v="10"/>
    <x v="0"/>
    <x v="0"/>
    <x v="0"/>
    <s v="2025"/>
  </r>
  <r>
    <s v="TI221GK10Y"/>
    <d v="2025-09-02T10:39:56"/>
    <x v="1"/>
    <n v="0"/>
    <n v="2"/>
    <x v="1"/>
    <x v="0"/>
    <x v="0"/>
    <s v="2025"/>
  </r>
  <r>
    <s v="TI221GK10Y"/>
    <d v="2025-09-02T10:39:56"/>
    <x v="2"/>
    <n v="0"/>
    <n v="11"/>
    <x v="2"/>
    <x v="0"/>
    <x v="0"/>
    <s v="2025"/>
  </r>
  <r>
    <s v="TI15WUWSPN"/>
    <d v="2025-09-01T16:24:17"/>
    <x v="3"/>
    <n v="2000"/>
    <n v="0"/>
    <x v="3"/>
    <x v="0"/>
    <x v="1"/>
    <s v="2025"/>
  </r>
  <r>
    <s v="TI12WCCVTG"/>
    <d v="2025-09-01T14:37:05"/>
    <x v="4"/>
    <n v="0"/>
    <n v="50"/>
    <x v="4"/>
    <x v="0"/>
    <x v="1"/>
    <s v="2025"/>
  </r>
  <r>
    <s v="TI15WBC00F"/>
    <d v="2025-09-01T14:31:07"/>
    <x v="5"/>
    <n v="0"/>
    <n v="840"/>
    <x v="5"/>
    <x v="0"/>
    <x v="1"/>
    <s v="2025"/>
  </r>
  <r>
    <s v="TI11W9M3EB"/>
    <d v="2025-09-01T14:21:06"/>
    <x v="6"/>
    <n v="0"/>
    <n v="40"/>
    <x v="6"/>
    <x v="0"/>
    <x v="1"/>
    <s v="2025"/>
  </r>
  <r>
    <s v="TI15W9IFVZ"/>
    <d v="2025-09-01T14:20:34"/>
    <x v="6"/>
    <n v="0"/>
    <n v="25"/>
    <x v="7"/>
    <x v="0"/>
    <x v="1"/>
    <s v="2025"/>
  </r>
  <r>
    <s v="TI14W9B5A2"/>
    <d v="2025-09-01T14:19:20"/>
    <x v="7"/>
    <n v="0"/>
    <n v="7"/>
    <x v="8"/>
    <x v="0"/>
    <x v="1"/>
    <s v="2025"/>
  </r>
  <r>
    <s v="TI14W9B5A2"/>
    <d v="2025-09-01T14:19:20"/>
    <x v="4"/>
    <n v="0"/>
    <n v="125"/>
    <x v="9"/>
    <x v="0"/>
    <x v="1"/>
    <s v="2025"/>
  </r>
  <r>
    <s v="TI14W0I496"/>
    <d v="2025-09-01T13:29:18"/>
    <x v="7"/>
    <n v="0"/>
    <n v="53"/>
    <x v="10"/>
    <x v="0"/>
    <x v="1"/>
    <s v="2025"/>
  </r>
  <r>
    <s v="TI14W0I496"/>
    <d v="2025-09-01T13:29:18"/>
    <x v="8"/>
    <n v="0"/>
    <n v="3000"/>
    <x v="11"/>
    <x v="0"/>
    <x v="1"/>
    <s v="2025"/>
  </r>
  <r>
    <s v="TI13VWDPU7"/>
    <d v="2025-09-01T13:06:04"/>
    <x v="9"/>
    <n v="30600"/>
    <n v="0"/>
    <x v="12"/>
    <x v="0"/>
    <x v="1"/>
    <s v="2025"/>
  </r>
  <r>
    <s v="THO3S60K95"/>
    <d v="2025-08-24T20:24:42"/>
    <x v="10"/>
    <n v="0"/>
    <n v="30"/>
    <x v="13"/>
    <x v="1"/>
    <x v="2"/>
    <s v="2025"/>
  </r>
  <r>
    <s v="THN7MZS3G3"/>
    <d v="2025-08-23T19:32:56"/>
    <x v="10"/>
    <n v="0"/>
    <n v="30"/>
    <x v="14"/>
    <x v="1"/>
    <x v="3"/>
    <s v="2025"/>
  </r>
  <r>
    <s v="THM8HQMLHK"/>
    <d v="2025-08-22T19:18:55"/>
    <x v="10"/>
    <n v="0"/>
    <n v="30"/>
    <x v="15"/>
    <x v="1"/>
    <x v="4"/>
    <s v="2025"/>
  </r>
  <r>
    <s v="THM7F0SSFV"/>
    <d v="2025-08-22T10:45:44"/>
    <x v="11"/>
    <n v="0"/>
    <n v="100"/>
    <x v="16"/>
    <x v="1"/>
    <x v="4"/>
    <s v="2025"/>
  </r>
  <r>
    <s v="THM3F08EO7"/>
    <d v="2025-08-22T10:42:13"/>
    <x v="11"/>
    <n v="0"/>
    <n v="100"/>
    <x v="17"/>
    <x v="1"/>
    <x v="4"/>
    <s v="2025"/>
  </r>
  <r>
    <s v="THL1CIQFXR"/>
    <d v="2025-08-21T19:04:57"/>
    <x v="10"/>
    <n v="0"/>
    <n v="30"/>
    <x v="18"/>
    <x v="1"/>
    <x v="5"/>
    <s v="2025"/>
  </r>
  <r>
    <s v="THL1AVX6SD"/>
    <d v="2025-08-21T14:07:36"/>
    <x v="4"/>
    <n v="0"/>
    <n v="35"/>
    <x v="19"/>
    <x v="1"/>
    <x v="5"/>
    <s v="2025"/>
  </r>
  <r>
    <s v="THL7AVL73Z"/>
    <d v="2025-08-21T14:05:35"/>
    <x v="5"/>
    <n v="0"/>
    <n v="100"/>
    <x v="20"/>
    <x v="1"/>
    <x v="5"/>
    <s v="2025"/>
  </r>
  <r>
    <s v="THL1AUXIZZ"/>
    <d v="2025-08-21T14:01:45"/>
    <x v="12"/>
    <n v="0"/>
    <n v="60"/>
    <x v="21"/>
    <x v="1"/>
    <x v="5"/>
    <s v="2025"/>
  </r>
  <r>
    <s v="THL19NM7OV"/>
    <d v="2025-08-21T09:35:32"/>
    <x v="6"/>
    <n v="0"/>
    <n v="25"/>
    <x v="22"/>
    <x v="1"/>
    <x v="5"/>
    <s v="2025"/>
  </r>
  <r>
    <s v="THK28ATD4S"/>
    <d v="2025-08-20T20:53:35"/>
    <x v="5"/>
    <n v="0"/>
    <n v="150"/>
    <x v="23"/>
    <x v="1"/>
    <x v="6"/>
    <s v="2025"/>
  </r>
  <r>
    <s v="THK28A7PCU"/>
    <d v="2025-08-20T20:50:40"/>
    <x v="7"/>
    <n v="0"/>
    <n v="7"/>
    <x v="24"/>
    <x v="1"/>
    <x v="6"/>
    <s v="2025"/>
  </r>
  <r>
    <s v="THK28A7PCU"/>
    <d v="2025-08-20T20:50:40"/>
    <x v="4"/>
    <n v="0"/>
    <n v="145"/>
    <x v="25"/>
    <x v="1"/>
    <x v="6"/>
    <s v="2025"/>
  </r>
  <r>
    <s v="THK485V2N0"/>
    <d v="2025-08-20T20:30:51"/>
    <x v="5"/>
    <n v="0"/>
    <n v="3155"/>
    <x v="26"/>
    <x v="1"/>
    <x v="6"/>
    <s v="2025"/>
  </r>
  <r>
    <s v="THK863CH3W"/>
    <d v="2025-08-20T14:52:30"/>
    <x v="10"/>
    <n v="0"/>
    <n v="30"/>
    <x v="27"/>
    <x v="1"/>
    <x v="6"/>
    <s v="2025"/>
  </r>
  <r>
    <s v="THK662X3BQ"/>
    <d v="2025-08-20T14:49:59"/>
    <x v="13"/>
    <n v="1"/>
    <n v="0"/>
    <x v="28"/>
    <x v="1"/>
    <x v="6"/>
    <s v="2025"/>
  </r>
  <r>
    <s v="THJ92PAXCH"/>
    <d v="2025-08-19T19:23:18"/>
    <x v="14"/>
    <n v="0"/>
    <n v="40"/>
    <x v="29"/>
    <x v="1"/>
    <x v="0"/>
    <s v="2025"/>
  </r>
  <r>
    <s v="THJ1ZS4ALN"/>
    <d v="2025-08-19T13:35:33"/>
    <x v="15"/>
    <n v="0"/>
    <n v="70"/>
    <x v="30"/>
    <x v="1"/>
    <x v="0"/>
    <s v="2025"/>
  </r>
  <r>
    <s v="THJ4YZ8H8M"/>
    <d v="2025-08-19T10:34:52"/>
    <x v="6"/>
    <n v="0"/>
    <n v="40"/>
    <x v="31"/>
    <x v="1"/>
    <x v="0"/>
    <s v="2025"/>
  </r>
  <r>
    <s v="THJ5YKMZKJ"/>
    <d v="2025-08-19T08:56:04"/>
    <x v="10"/>
    <n v="0"/>
    <n v="30"/>
    <x v="32"/>
    <x v="1"/>
    <x v="0"/>
    <s v="2025"/>
  </r>
  <r>
    <s v="THI5X5JJGX"/>
    <d v="2025-08-18T19:58:11"/>
    <x v="16"/>
    <n v="200"/>
    <n v="0"/>
    <x v="33"/>
    <x v="1"/>
    <x v="1"/>
    <s v="2025"/>
  </r>
  <r>
    <s v="THI8WTN2MA"/>
    <d v="2025-08-18T19:12:34"/>
    <x v="6"/>
    <n v="0"/>
    <n v="35"/>
    <x v="34"/>
    <x v="1"/>
    <x v="1"/>
    <s v="2025"/>
  </r>
  <r>
    <s v="THI6TXFIMO"/>
    <d v="2025-08-18T09:27:39"/>
    <x v="6"/>
    <n v="0"/>
    <n v="25"/>
    <x v="35"/>
    <x v="1"/>
    <x v="1"/>
    <s v="2025"/>
  </r>
  <r>
    <s v="THH2T6UT6M"/>
    <d v="2025-08-17T23:41:49"/>
    <x v="10"/>
    <n v="0"/>
    <n v="30"/>
    <x v="30"/>
    <x v="1"/>
    <x v="2"/>
    <s v="2025"/>
  </r>
  <r>
    <s v="THH6SX37MS"/>
    <d v="2025-08-17T21:44:46"/>
    <x v="13"/>
    <n v="70"/>
    <n v="0"/>
    <x v="36"/>
    <x v="1"/>
    <x v="2"/>
    <s v="2025"/>
  </r>
  <r>
    <s v="THH8PAIXH0"/>
    <d v="2025-08-17T09:18:41"/>
    <x v="6"/>
    <n v="0"/>
    <n v="25"/>
    <x v="29"/>
    <x v="1"/>
    <x v="2"/>
    <s v="2025"/>
  </r>
  <r>
    <s v="THG5OL4E43"/>
    <d v="2025-08-16T23:33:32"/>
    <x v="10"/>
    <n v="0"/>
    <n v="30"/>
    <x v="37"/>
    <x v="1"/>
    <x v="3"/>
    <s v="2025"/>
  </r>
  <r>
    <s v="THG9NDXF9B"/>
    <d v="2025-08-16T19:19:39"/>
    <x v="4"/>
    <n v="0"/>
    <n v="50"/>
    <x v="38"/>
    <x v="1"/>
    <x v="3"/>
    <s v="2025"/>
  </r>
  <r>
    <s v="THG7MKO7Q3"/>
    <d v="2025-08-16T17:15:01"/>
    <x v="10"/>
    <n v="0"/>
    <n v="30"/>
    <x v="39"/>
    <x v="1"/>
    <x v="3"/>
    <s v="2025"/>
  </r>
  <r>
    <s v="THG6LVTLRC"/>
    <d v="2025-08-16T14:56:04"/>
    <x v="13"/>
    <n v="100"/>
    <n v="0"/>
    <x v="40"/>
    <x v="1"/>
    <x v="3"/>
    <s v="2025"/>
  </r>
  <r>
    <s v="THG3KY779V"/>
    <d v="2025-08-16T11:39:11"/>
    <x v="10"/>
    <n v="0"/>
    <n v="30"/>
    <x v="41"/>
    <x v="1"/>
    <x v="3"/>
    <s v="2025"/>
  </r>
  <r>
    <s v="THG7KIUG03"/>
    <d v="2025-08-16T10:03:40"/>
    <x v="6"/>
    <n v="0"/>
    <n v="25"/>
    <x v="42"/>
    <x v="1"/>
    <x v="3"/>
    <s v="2025"/>
  </r>
  <r>
    <s v="THF6HMOHTW"/>
    <d v="2025-08-15T17:57:23"/>
    <x v="10"/>
    <n v="0"/>
    <n v="30"/>
    <x v="43"/>
    <x v="1"/>
    <x v="4"/>
    <s v="2025"/>
  </r>
  <r>
    <s v="THF6H8IC9M"/>
    <d v="2025-08-15T16:50:28"/>
    <x v="17"/>
    <n v="0"/>
    <n v="11"/>
    <x v="44"/>
    <x v="1"/>
    <x v="4"/>
    <s v="2025"/>
  </r>
  <r>
    <s v="THF8GXSMTU"/>
    <d v="2025-08-15T15:51:35"/>
    <x v="4"/>
    <n v="0"/>
    <n v="50"/>
    <x v="45"/>
    <x v="1"/>
    <x v="4"/>
    <s v="2025"/>
  </r>
  <r>
    <s v="THF6GX3VHG"/>
    <d v="2025-08-15T15:47:42"/>
    <x v="15"/>
    <n v="0"/>
    <n v="40"/>
    <x v="46"/>
    <x v="1"/>
    <x v="4"/>
    <s v="2025"/>
  </r>
  <r>
    <s v="THF6GWV7QO"/>
    <d v="2025-08-15T15:46:19"/>
    <x v="18"/>
    <n v="0"/>
    <n v="20"/>
    <x v="47"/>
    <x v="1"/>
    <x v="4"/>
    <s v="2025"/>
  </r>
  <r>
    <s v="THF2G1FGUE"/>
    <d v="2025-08-15T12:45:41"/>
    <x v="10"/>
    <n v="0"/>
    <n v="30"/>
    <x v="48"/>
    <x v="1"/>
    <x v="4"/>
    <s v="2025"/>
  </r>
  <r>
    <s v="THF5FHHQPZ"/>
    <d v="2025-08-15T10:45:33"/>
    <x v="5"/>
    <n v="0"/>
    <n v="75"/>
    <x v="49"/>
    <x v="1"/>
    <x v="4"/>
    <s v="2025"/>
  </r>
  <r>
    <s v="THF3FF50MB"/>
    <d v="2025-08-15T10:31:02"/>
    <x v="19"/>
    <n v="41"/>
    <n v="0"/>
    <x v="50"/>
    <x v="1"/>
    <x v="4"/>
    <s v="2025"/>
  </r>
  <r>
    <s v="THE4D6FXIE"/>
    <d v="2025-08-14T19:25:00"/>
    <x v="20"/>
    <n v="0"/>
    <n v="35"/>
    <x v="51"/>
    <x v="1"/>
    <x v="5"/>
    <s v="2025"/>
  </r>
  <r>
    <s v="THE9AY4NGR"/>
    <d v="2025-08-14T12:31:52"/>
    <x v="10"/>
    <n v="0"/>
    <n v="30"/>
    <x v="52"/>
    <x v="1"/>
    <x v="5"/>
    <s v="2025"/>
  </r>
  <r>
    <s v="THE7AQHFYF"/>
    <d v="2025-08-14T11:44:59"/>
    <x v="21"/>
    <n v="0"/>
    <n v="30"/>
    <x v="53"/>
    <x v="1"/>
    <x v="5"/>
    <s v="2025"/>
  </r>
  <r>
    <s v="THD9931ZZV"/>
    <d v="2025-08-13T21:56:40"/>
    <x v="10"/>
    <n v="0"/>
    <n v="30"/>
    <x v="54"/>
    <x v="1"/>
    <x v="6"/>
    <s v="2025"/>
  </r>
  <r>
    <s v="THD9843I29"/>
    <d v="2025-08-13T19:19:44"/>
    <x v="22"/>
    <n v="0"/>
    <n v="25"/>
    <x v="55"/>
    <x v="1"/>
    <x v="6"/>
    <s v="2025"/>
  </r>
  <r>
    <s v="THD56BLEB7"/>
    <d v="2025-08-13T13:55:29"/>
    <x v="5"/>
    <n v="0"/>
    <n v="15"/>
    <x v="56"/>
    <x v="1"/>
    <x v="6"/>
    <s v="2025"/>
  </r>
  <r>
    <s v="THD06B6JSK"/>
    <d v="2025-08-13T13:53:07"/>
    <x v="15"/>
    <n v="0"/>
    <n v="40"/>
    <x v="57"/>
    <x v="1"/>
    <x v="6"/>
    <s v="2025"/>
  </r>
  <r>
    <s v="THD154H5XR"/>
    <d v="2025-08-13T09:27:44"/>
    <x v="10"/>
    <n v="0"/>
    <n v="30"/>
    <x v="58"/>
    <x v="1"/>
    <x v="6"/>
    <s v="2025"/>
  </r>
  <r>
    <s v="THC43QFMYO"/>
    <d v="2025-08-12T20:41:29"/>
    <x v="10"/>
    <n v="0"/>
    <n v="30"/>
    <x v="59"/>
    <x v="1"/>
    <x v="0"/>
    <s v="2025"/>
  </r>
  <r>
    <s v="THC92BTY8Z"/>
    <d v="2025-08-12T17:16:02"/>
    <x v="5"/>
    <n v="0"/>
    <n v="135"/>
    <x v="60"/>
    <x v="1"/>
    <x v="0"/>
    <s v="2025"/>
  </r>
  <r>
    <s v="THC72BOQT5"/>
    <d v="2025-08-12T17:15:19"/>
    <x v="4"/>
    <n v="0"/>
    <n v="45"/>
    <x v="61"/>
    <x v="1"/>
    <x v="0"/>
    <s v="2025"/>
  </r>
  <r>
    <s v="THC9255YZN"/>
    <d v="2025-08-12T16:41:35"/>
    <x v="23"/>
    <n v="0"/>
    <n v="17"/>
    <x v="62"/>
    <x v="1"/>
    <x v="0"/>
    <s v="2025"/>
  </r>
  <r>
    <s v="THC31SYTWJ"/>
    <d v="2025-08-12T15:31:13"/>
    <x v="10"/>
    <n v="0"/>
    <n v="30"/>
    <x v="63"/>
    <x v="1"/>
    <x v="0"/>
    <s v="2025"/>
  </r>
  <r>
    <s v="THC5ZTDRKB"/>
    <d v="2025-08-12T11:58:57"/>
    <x v="5"/>
    <n v="0"/>
    <n v="25"/>
    <x v="64"/>
    <x v="1"/>
    <x v="0"/>
    <s v="2025"/>
  </r>
  <r>
    <s v="THB3Y7M75N"/>
    <d v="2025-08-11T22:15:02"/>
    <x v="23"/>
    <n v="0"/>
    <n v="22"/>
    <x v="65"/>
    <x v="1"/>
    <x v="1"/>
    <s v="2025"/>
  </r>
  <r>
    <s v="THB3Y5KNCJ"/>
    <d v="2025-08-11T21:58:36"/>
    <x v="10"/>
    <n v="0"/>
    <n v="30"/>
    <x v="66"/>
    <x v="1"/>
    <x v="1"/>
    <s v="2025"/>
  </r>
  <r>
    <s v="THB6X7YHRS"/>
    <d v="2025-08-11T19:20:49"/>
    <x v="22"/>
    <n v="0"/>
    <n v="25"/>
    <x v="67"/>
    <x v="1"/>
    <x v="1"/>
    <s v="2025"/>
  </r>
  <r>
    <s v="THB6X6Y7RY"/>
    <d v="2025-08-11T19:17:19"/>
    <x v="5"/>
    <n v="0"/>
    <n v="160"/>
    <x v="68"/>
    <x v="1"/>
    <x v="1"/>
    <s v="2025"/>
  </r>
  <r>
    <s v="THB7VQI8EP"/>
    <d v="2025-08-11T15:08:58"/>
    <x v="5"/>
    <n v="0"/>
    <n v="265"/>
    <x v="69"/>
    <x v="1"/>
    <x v="1"/>
    <s v="2025"/>
  </r>
  <r>
    <s v="THB7VMTQOP"/>
    <d v="2025-08-11T14:47:10"/>
    <x v="24"/>
    <n v="0"/>
    <n v="100"/>
    <x v="70"/>
    <x v="1"/>
    <x v="1"/>
    <s v="2025"/>
  </r>
  <r>
    <s v="THB2VMF9I2"/>
    <d v="2025-08-11T14:44:46"/>
    <x v="25"/>
    <n v="0"/>
    <n v="11"/>
    <x v="71"/>
    <x v="1"/>
    <x v="1"/>
    <s v="2025"/>
  </r>
  <r>
    <s v="THB9UL27XL"/>
    <d v="2025-08-11T11:04:17"/>
    <x v="9"/>
    <n v="5420"/>
    <n v="0"/>
    <x v="72"/>
    <x v="1"/>
    <x v="1"/>
    <s v="2025"/>
  </r>
  <r>
    <s v="THB8U7IEMC"/>
    <d v="2025-08-11T09:38:48"/>
    <x v="6"/>
    <n v="0"/>
    <n v="50"/>
    <x v="73"/>
    <x v="1"/>
    <x v="1"/>
    <s v="2025"/>
  </r>
  <r>
    <s v="THA6T4A1KC"/>
    <d v="2025-08-10T21:54:03"/>
    <x v="10"/>
    <n v="0"/>
    <n v="30"/>
    <x v="74"/>
    <x v="1"/>
    <x v="2"/>
    <s v="2025"/>
  </r>
  <r>
    <s v="THA8SNY1FC"/>
    <d v="2025-08-10T20:22:09"/>
    <x v="13"/>
    <n v="100"/>
    <n v="0"/>
    <x v="75"/>
    <x v="1"/>
    <x v="2"/>
    <s v="2025"/>
  </r>
  <r>
    <s v="THA6SLZ06Q"/>
    <d v="2025-08-10T20:13:18"/>
    <x v="5"/>
    <n v="0"/>
    <n v="45"/>
    <x v="76"/>
    <x v="1"/>
    <x v="2"/>
    <s v="2025"/>
  </r>
  <r>
    <s v="THA2QCGHGK"/>
    <d v="2025-08-10T13:19:30"/>
    <x v="10"/>
    <n v="0"/>
    <n v="30"/>
    <x v="77"/>
    <x v="1"/>
    <x v="2"/>
    <s v="2025"/>
  </r>
  <r>
    <s v="THA0PQCHAK"/>
    <d v="2025-08-10T10:51:44"/>
    <x v="6"/>
    <n v="0"/>
    <n v="25"/>
    <x v="78"/>
    <x v="1"/>
    <x v="2"/>
    <s v="2025"/>
  </r>
  <r>
    <s v="THA2PHSZCA"/>
    <d v="2025-08-10T09:52:10"/>
    <x v="5"/>
    <n v="0"/>
    <n v="30"/>
    <x v="75"/>
    <x v="1"/>
    <x v="2"/>
    <s v="2025"/>
  </r>
  <r>
    <s v="TH93O8LCNF"/>
    <d v="2025-08-09T21:26:49"/>
    <x v="26"/>
    <n v="100"/>
    <n v="0"/>
    <x v="79"/>
    <x v="1"/>
    <x v="3"/>
    <s v="2025"/>
  </r>
  <r>
    <s v="TH93LSJU9L"/>
    <d v="2025-08-09T14:39:52"/>
    <x v="10"/>
    <n v="0"/>
    <n v="30"/>
    <x v="80"/>
    <x v="1"/>
    <x v="3"/>
    <s v="2025"/>
  </r>
  <r>
    <s v="TH98L9L5KC"/>
    <d v="2025-08-09T12:52:05"/>
    <x v="27"/>
    <n v="0"/>
    <n v="5"/>
    <x v="81"/>
    <x v="1"/>
    <x v="3"/>
    <s v="2025"/>
  </r>
  <r>
    <s v="TH98L7EQJQ"/>
    <d v="2025-08-09T12:39:18"/>
    <x v="16"/>
    <n v="80"/>
    <n v="0"/>
    <x v="82"/>
    <x v="1"/>
    <x v="3"/>
    <s v="2025"/>
  </r>
  <r>
    <s v="TH91KT0A75"/>
    <d v="2025-08-09T11:13:33"/>
    <x v="6"/>
    <n v="0"/>
    <n v="20"/>
    <x v="83"/>
    <x v="1"/>
    <x v="3"/>
    <s v="2025"/>
  </r>
  <r>
    <s v="TH94KMVILC"/>
    <d v="2025-08-09T10:35:59"/>
    <x v="28"/>
    <n v="0"/>
    <n v="3"/>
    <x v="84"/>
    <x v="1"/>
    <x v="3"/>
    <s v="2025"/>
  </r>
  <r>
    <s v="TH87GN0UHV"/>
    <d v="2025-08-08T14:44:24"/>
    <x v="4"/>
    <n v="0"/>
    <n v="100"/>
    <x v="85"/>
    <x v="1"/>
    <x v="4"/>
    <s v="2025"/>
  </r>
  <r>
    <s v="TH83GL7TX7"/>
    <d v="2025-08-08T14:34:26"/>
    <x v="10"/>
    <n v="0"/>
    <n v="30"/>
    <x v="86"/>
    <x v="1"/>
    <x v="4"/>
    <s v="2025"/>
  </r>
  <r>
    <s v="TH80FCZJLS"/>
    <d v="2025-08-08T10:24:16"/>
    <x v="6"/>
    <n v="0"/>
    <n v="15"/>
    <x v="87"/>
    <x v="1"/>
    <x v="4"/>
    <s v="2025"/>
  </r>
  <r>
    <s v="TH86EWVPQS"/>
    <d v="2025-08-08T08:44:39"/>
    <x v="16"/>
    <n v="100"/>
    <n v="0"/>
    <x v="88"/>
    <x v="1"/>
    <x v="4"/>
    <s v="2025"/>
  </r>
  <r>
    <s v="TH84EH6O3A"/>
    <d v="2025-08-08T06:15:04"/>
    <x v="13"/>
    <n v="57"/>
    <n v="0"/>
    <x v="89"/>
    <x v="1"/>
    <x v="4"/>
    <s v="2025"/>
  </r>
  <r>
    <s v="TH75D07TQ5"/>
    <d v="2025-08-07T19:17:43"/>
    <x v="4"/>
    <n v="0"/>
    <n v="25"/>
    <x v="90"/>
    <x v="1"/>
    <x v="5"/>
    <s v="2025"/>
  </r>
  <r>
    <s v="TH73C3VMCX"/>
    <d v="2025-08-07T17:06:25"/>
    <x v="10"/>
    <n v="0"/>
    <n v="30"/>
    <x v="91"/>
    <x v="1"/>
    <x v="5"/>
    <s v="2025"/>
  </r>
  <r>
    <s v="TH78BGHGUI"/>
    <d v="2025-08-07T14:57:18"/>
    <x v="28"/>
    <n v="0"/>
    <n v="3"/>
    <x v="92"/>
    <x v="1"/>
    <x v="5"/>
    <s v="2025"/>
  </r>
  <r>
    <s v="TH73A97KKR"/>
    <d v="2025-08-07T10:42:31"/>
    <x v="4"/>
    <n v="0"/>
    <n v="20"/>
    <x v="93"/>
    <x v="1"/>
    <x v="5"/>
    <s v="2025"/>
  </r>
  <r>
    <s v="TH74A91XZG"/>
    <d v="2025-08-07T10:41:35"/>
    <x v="6"/>
    <n v="0"/>
    <n v="25"/>
    <x v="94"/>
    <x v="1"/>
    <x v="5"/>
    <s v="2025"/>
  </r>
  <r>
    <s v="TH648AFQCI"/>
    <d v="2025-08-06T20:14:25"/>
    <x v="16"/>
    <n v="100"/>
    <n v="0"/>
    <x v="95"/>
    <x v="1"/>
    <x v="6"/>
    <s v="2025"/>
  </r>
  <r>
    <s v="TH617Z3MF9"/>
    <d v="2025-08-06T19:34:11"/>
    <x v="4"/>
    <n v="0"/>
    <n v="65"/>
    <x v="96"/>
    <x v="1"/>
    <x v="6"/>
    <s v="2025"/>
  </r>
  <r>
    <s v="TH616S6LNR"/>
    <d v="2025-08-06T16:35:20"/>
    <x v="10"/>
    <n v="0"/>
    <n v="30"/>
    <x v="97"/>
    <x v="1"/>
    <x v="6"/>
    <s v="2025"/>
  </r>
  <r>
    <s v="TH61590XTF"/>
    <d v="2025-08-06T11:14:42"/>
    <x v="4"/>
    <n v="0"/>
    <n v="15"/>
    <x v="98"/>
    <x v="1"/>
    <x v="6"/>
    <s v="2025"/>
  </r>
  <r>
    <s v="TH6458SX9G"/>
    <d v="2025-08-06T11:13:20"/>
    <x v="5"/>
    <n v="0"/>
    <n v="50"/>
    <x v="99"/>
    <x v="1"/>
    <x v="6"/>
    <s v="2025"/>
  </r>
  <r>
    <s v="TH614KXKAT"/>
    <d v="2025-08-06T08:42:45"/>
    <x v="13"/>
    <n v="60"/>
    <n v="0"/>
    <x v="100"/>
    <x v="1"/>
    <x v="6"/>
    <s v="2025"/>
  </r>
  <r>
    <s v="TH572UUAQT"/>
    <d v="2025-08-05T19:40:51"/>
    <x v="5"/>
    <n v="0"/>
    <n v="15"/>
    <x v="95"/>
    <x v="1"/>
    <x v="0"/>
    <s v="2025"/>
  </r>
  <r>
    <s v="TH582UA9ZW"/>
    <d v="2025-08-05T19:38:59"/>
    <x v="15"/>
    <n v="0"/>
    <n v="40"/>
    <x v="101"/>
    <x v="1"/>
    <x v="0"/>
    <s v="2025"/>
  </r>
  <r>
    <s v="TH561FDLCE"/>
    <d v="2025-08-05T15:59:24"/>
    <x v="10"/>
    <n v="0"/>
    <n v="30"/>
    <x v="102"/>
    <x v="1"/>
    <x v="0"/>
    <s v="2025"/>
  </r>
  <r>
    <s v="TH58YPM0SE"/>
    <d v="2025-08-05T09:54:51"/>
    <x v="6"/>
    <n v="0"/>
    <n v="25"/>
    <x v="103"/>
    <x v="1"/>
    <x v="0"/>
    <s v="2025"/>
  </r>
  <r>
    <s v="TH57YMH63Z"/>
    <d v="2025-08-05T09:34:29"/>
    <x v="10"/>
    <n v="0"/>
    <n v="30"/>
    <x v="104"/>
    <x v="1"/>
    <x v="0"/>
    <s v="2025"/>
  </r>
  <r>
    <s v="TH50YE2W4E"/>
    <d v="2025-08-05T08:39:07"/>
    <x v="16"/>
    <n v="100"/>
    <n v="0"/>
    <x v="105"/>
    <x v="1"/>
    <x v="0"/>
    <s v="2025"/>
  </r>
  <r>
    <s v="TH46W65N4G"/>
    <d v="2025-08-04T18:31:35"/>
    <x v="16"/>
    <n v="100"/>
    <n v="0"/>
    <x v="106"/>
    <x v="1"/>
    <x v="1"/>
    <s v="2025"/>
  </r>
  <r>
    <s v="TH46W60800"/>
    <d v="2025-08-04T18:30:58"/>
    <x v="16"/>
    <n v="50"/>
    <n v="0"/>
    <x v="15"/>
    <x v="1"/>
    <x v="1"/>
    <s v="2025"/>
  </r>
  <r>
    <s v="TH41TQJ3M7"/>
    <d v="2025-08-04T10:31:17"/>
    <x v="28"/>
    <n v="0"/>
    <n v="3"/>
    <x v="107"/>
    <x v="1"/>
    <x v="1"/>
    <s v="2025"/>
  </r>
  <r>
    <s v="TH43TL3DOD"/>
    <d v="2025-08-04T09:57:22"/>
    <x v="5"/>
    <n v="0"/>
    <n v="60"/>
    <x v="108"/>
    <x v="1"/>
    <x v="1"/>
    <s v="2025"/>
  </r>
  <r>
    <s v="TH41TK4X9V"/>
    <d v="2025-08-04T09:51:14"/>
    <x v="19"/>
    <n v="25"/>
    <n v="0"/>
    <x v="109"/>
    <x v="1"/>
    <x v="1"/>
    <s v="2025"/>
  </r>
  <r>
    <s v="TH31SFR85N"/>
    <d v="2025-08-03T21:57:43"/>
    <x v="10"/>
    <n v="0"/>
    <n v="30"/>
    <x v="110"/>
    <x v="1"/>
    <x v="2"/>
    <s v="2025"/>
  </r>
  <r>
    <s v="TH31SF8Q0T"/>
    <d v="2025-08-03T21:53:57"/>
    <x v="13"/>
    <n v="30"/>
    <n v="0"/>
    <x v="111"/>
    <x v="1"/>
    <x v="2"/>
    <s v="2025"/>
  </r>
  <r>
    <s v="TH36SCBFZU"/>
    <d v="2025-08-03T21:33:43"/>
    <x v="13"/>
    <n v="50"/>
    <n v="0"/>
    <x v="110"/>
    <x v="1"/>
    <x v="2"/>
    <s v="2025"/>
  </r>
  <r>
    <s v="TH34OZIMW8"/>
    <d v="2025-08-03T10:42:01"/>
    <x v="6"/>
    <n v="0"/>
    <n v="25"/>
    <x v="112"/>
    <x v="1"/>
    <x v="2"/>
    <s v="2025"/>
  </r>
  <r>
    <s v="TH32OOR7T6"/>
    <d v="2025-08-03T09:27:23"/>
    <x v="10"/>
    <n v="0"/>
    <n v="30"/>
    <x v="113"/>
    <x v="1"/>
    <x v="2"/>
    <s v="2025"/>
  </r>
  <r>
    <s v="TH39OO6O8D"/>
    <d v="2025-08-03T09:23:16"/>
    <x v="19"/>
    <n v="55"/>
    <n v="0"/>
    <x v="114"/>
    <x v="1"/>
    <x v="2"/>
    <s v="2025"/>
  </r>
  <r>
    <s v="TH20IQ77NO"/>
    <d v="2025-08-02T00:03:58"/>
    <x v="23"/>
    <n v="0"/>
    <n v="22"/>
    <x v="112"/>
    <x v="1"/>
    <x v="3"/>
    <s v="2025"/>
  </r>
  <r>
    <s v="TH15IPWG1X"/>
    <d v="2025-08-01T23:58:36"/>
    <x v="10"/>
    <n v="0"/>
    <n v="30"/>
    <x v="96"/>
    <x v="1"/>
    <x v="4"/>
    <s v="2025"/>
  </r>
  <r>
    <s v="TH17IPT181"/>
    <d v="2025-08-01T23:57:01"/>
    <x v="19"/>
    <n v="30"/>
    <n v="0"/>
    <x v="115"/>
    <x v="1"/>
    <x v="4"/>
    <s v="2025"/>
  </r>
  <r>
    <s v="TH15H39BAF"/>
    <d v="2025-08-01T18:44:00"/>
    <x v="29"/>
    <n v="0"/>
    <n v="10"/>
    <x v="96"/>
    <x v="1"/>
    <x v="4"/>
    <s v="2025"/>
  </r>
  <r>
    <s v="TH10GND2FQ"/>
    <d v="2025-08-01T17:39:36"/>
    <x v="1"/>
    <n v="0"/>
    <n v="5"/>
    <x v="14"/>
    <x v="1"/>
    <x v="4"/>
    <s v="2025"/>
  </r>
  <r>
    <s v="TH10GND2FQ"/>
    <d v="2025-08-01T17:39:36"/>
    <x v="30"/>
    <n v="0"/>
    <n v="400"/>
    <x v="116"/>
    <x v="1"/>
    <x v="4"/>
    <s v="2025"/>
  </r>
  <r>
    <s v="TH18G7DSLI"/>
    <d v="2025-08-01T16:22:30"/>
    <x v="7"/>
    <n v="0"/>
    <n v="7"/>
    <x v="117"/>
    <x v="1"/>
    <x v="4"/>
    <s v="2025"/>
  </r>
  <r>
    <s v="TH18G7DSLI"/>
    <d v="2025-08-01T16:22:30"/>
    <x v="31"/>
    <n v="0"/>
    <n v="500"/>
    <x v="118"/>
    <x v="1"/>
    <x v="4"/>
    <s v="2025"/>
  </r>
  <r>
    <s v="TH13FKRS3F"/>
    <d v="2025-08-01T14:16:24"/>
    <x v="13"/>
    <n v="900"/>
    <n v="0"/>
    <x v="119"/>
    <x v="1"/>
    <x v="4"/>
    <s v="2025"/>
  </r>
  <r>
    <s v="TH13EZX7G3"/>
    <d v="2025-08-01T12:18:32"/>
    <x v="6"/>
    <n v="0"/>
    <n v="25"/>
    <x v="91"/>
    <x v="1"/>
    <x v="4"/>
    <s v="2025"/>
  </r>
  <r>
    <s v="TGV3D3CPL9"/>
    <d v="2025-07-31T21:53:24"/>
    <x v="10"/>
    <n v="0"/>
    <n v="30"/>
    <x v="120"/>
    <x v="2"/>
    <x v="5"/>
    <s v="2025"/>
  </r>
  <r>
    <s v="TGV9D2RM5P"/>
    <d v="2025-07-31T21:49:34"/>
    <x v="19"/>
    <n v="100"/>
    <n v="0"/>
    <x v="121"/>
    <x v="2"/>
    <x v="5"/>
    <s v="2025"/>
  </r>
  <r>
    <s v="TGV993BZ79"/>
    <d v="2025-07-31T09:38:41"/>
    <x v="6"/>
    <n v="0"/>
    <n v="10"/>
    <x v="122"/>
    <x v="2"/>
    <x v="5"/>
    <s v="2025"/>
  </r>
  <r>
    <s v="TGV99331Y9"/>
    <d v="2025-07-31T09:37:02"/>
    <x v="5"/>
    <n v="0"/>
    <n v="45"/>
    <x v="123"/>
    <x v="2"/>
    <x v="5"/>
    <s v="2025"/>
  </r>
  <r>
    <s v="TGU874XUYA"/>
    <d v="2025-07-30T19:38:25"/>
    <x v="5"/>
    <n v="0"/>
    <n v="5"/>
    <x v="124"/>
    <x v="2"/>
    <x v="6"/>
    <s v="2025"/>
  </r>
  <r>
    <s v="TGU374ET3L"/>
    <d v="2025-07-30T19:36:39"/>
    <x v="4"/>
    <n v="0"/>
    <n v="40"/>
    <x v="125"/>
    <x v="2"/>
    <x v="6"/>
    <s v="2025"/>
  </r>
  <r>
    <s v="TGU4723Q5G"/>
    <d v="2025-07-30T19:28:53"/>
    <x v="32"/>
    <n v="0"/>
    <n v="40"/>
    <x v="121"/>
    <x v="2"/>
    <x v="6"/>
    <s v="2025"/>
  </r>
  <r>
    <s v="TGU05W4612"/>
    <d v="2025-07-30T16:28:00"/>
    <x v="10"/>
    <n v="0"/>
    <n v="30"/>
    <x v="126"/>
    <x v="2"/>
    <x v="6"/>
    <s v="2025"/>
  </r>
  <r>
    <s v="TGU54Z9EF3"/>
    <d v="2025-07-30T13:14:06"/>
    <x v="6"/>
    <n v="0"/>
    <n v="25"/>
    <x v="127"/>
    <x v="2"/>
    <x v="6"/>
    <s v="2025"/>
  </r>
  <r>
    <s v="TGT5263U59"/>
    <d v="2025-07-29T19:37:17"/>
    <x v="5"/>
    <n v="0"/>
    <n v="5"/>
    <x v="128"/>
    <x v="2"/>
    <x v="0"/>
    <s v="2025"/>
  </r>
  <r>
    <s v="TGT725L4KP"/>
    <d v="2025-07-29T19:35:30"/>
    <x v="4"/>
    <n v="0"/>
    <n v="80"/>
    <x v="129"/>
    <x v="2"/>
    <x v="0"/>
    <s v="2025"/>
  </r>
  <r>
    <s v="TGT91DTJX9"/>
    <d v="2025-07-29T17:47:23"/>
    <x v="33"/>
    <n v="0"/>
    <n v="17"/>
    <x v="130"/>
    <x v="2"/>
    <x v="0"/>
    <s v="2025"/>
  </r>
  <r>
    <s v="TGT4ZGULF2"/>
    <d v="2025-07-29T14:38:55"/>
    <x v="10"/>
    <n v="0"/>
    <n v="30"/>
    <x v="131"/>
    <x v="2"/>
    <x v="0"/>
    <s v="2025"/>
  </r>
  <r>
    <s v="TGT5ZC6MWD"/>
    <d v="2025-07-29T14:09:41"/>
    <x v="25"/>
    <n v="0"/>
    <n v="11"/>
    <x v="132"/>
    <x v="2"/>
    <x v="0"/>
    <s v="2025"/>
  </r>
  <r>
    <s v="TGT6YMO646"/>
    <d v="2025-07-29T11:25:50"/>
    <x v="33"/>
    <n v="0"/>
    <n v="17"/>
    <x v="133"/>
    <x v="2"/>
    <x v="0"/>
    <s v="2025"/>
  </r>
  <r>
    <s v="TGT7YF7BAZ"/>
    <d v="2025-07-29T10:37:03"/>
    <x v="6"/>
    <n v="0"/>
    <n v="25"/>
    <x v="134"/>
    <x v="2"/>
    <x v="0"/>
    <s v="2025"/>
  </r>
  <r>
    <s v="TGT6YEUG7A"/>
    <d v="2025-07-29T10:34:47"/>
    <x v="5"/>
    <n v="0"/>
    <n v="30"/>
    <x v="135"/>
    <x v="2"/>
    <x v="0"/>
    <s v="2025"/>
  </r>
  <r>
    <s v="TGS5W8JMN1"/>
    <d v="2025-07-28T19:27:46"/>
    <x v="15"/>
    <n v="0"/>
    <n v="40"/>
    <x v="136"/>
    <x v="2"/>
    <x v="1"/>
    <s v="2025"/>
  </r>
  <r>
    <s v="TGS6UX5HOC"/>
    <d v="2025-07-28T15:45:44"/>
    <x v="21"/>
    <n v="0"/>
    <n v="30"/>
    <x v="137"/>
    <x v="2"/>
    <x v="1"/>
    <s v="2025"/>
  </r>
  <r>
    <s v="TGS3UWE6FV"/>
    <d v="2025-07-28T15:40:56"/>
    <x v="33"/>
    <n v="0"/>
    <n v="17"/>
    <x v="138"/>
    <x v="2"/>
    <x v="1"/>
    <s v="2025"/>
  </r>
  <r>
    <s v="TGS4UMNRSE"/>
    <d v="2025-07-28T14:39:08"/>
    <x v="5"/>
    <n v="0"/>
    <n v="80"/>
    <x v="139"/>
    <x v="2"/>
    <x v="1"/>
    <s v="2025"/>
  </r>
  <r>
    <s v="TGS1TLUVP5"/>
    <d v="2025-07-28T10:49:45"/>
    <x v="8"/>
    <n v="0"/>
    <n v="100"/>
    <x v="140"/>
    <x v="2"/>
    <x v="1"/>
    <s v="2025"/>
  </r>
  <r>
    <s v="TGS4TLI58I"/>
    <d v="2025-07-28T10:47:32"/>
    <x v="8"/>
    <n v="0"/>
    <n v="100"/>
    <x v="141"/>
    <x v="2"/>
    <x v="1"/>
    <s v="2025"/>
  </r>
  <r>
    <s v="TGS3TLCNEJ"/>
    <d v="2025-07-28T10:46:37"/>
    <x v="6"/>
    <n v="0"/>
    <n v="30"/>
    <x v="142"/>
    <x v="2"/>
    <x v="1"/>
    <s v="2025"/>
  </r>
  <r>
    <s v="TGS9TK93RL"/>
    <d v="2025-07-28T10:39:39"/>
    <x v="8"/>
    <n v="0"/>
    <n v="100"/>
    <x v="143"/>
    <x v="2"/>
    <x v="1"/>
    <s v="2025"/>
  </r>
  <r>
    <s v="TGR2S82PWC"/>
    <d v="2025-07-27T21:45:57"/>
    <x v="8"/>
    <n v="0"/>
    <n v="100"/>
    <x v="144"/>
    <x v="2"/>
    <x v="2"/>
    <s v="2025"/>
  </r>
  <r>
    <s v="TGR4S6SHK0"/>
    <d v="2025-07-27T21:36:38"/>
    <x v="13"/>
    <n v="1000"/>
    <n v="0"/>
    <x v="145"/>
    <x v="2"/>
    <x v="2"/>
    <s v="2025"/>
  </r>
  <r>
    <s v="TGR9OV3A2T"/>
    <d v="2025-07-27T10:14:09"/>
    <x v="25"/>
    <n v="0"/>
    <n v="6"/>
    <x v="146"/>
    <x v="2"/>
    <x v="2"/>
    <s v="2025"/>
  </r>
  <r>
    <s v="TGQ2MQQXSC"/>
    <d v="2025-07-26T19:24:44"/>
    <x v="4"/>
    <n v="0"/>
    <n v="65"/>
    <x v="107"/>
    <x v="2"/>
    <x v="3"/>
    <s v="2025"/>
  </r>
  <r>
    <s v="TGQ3LAAJLH"/>
    <d v="2025-07-26T15:06:04"/>
    <x v="33"/>
    <n v="0"/>
    <n v="17"/>
    <x v="93"/>
    <x v="2"/>
    <x v="3"/>
    <s v="2025"/>
  </r>
  <r>
    <s v="TGP7HFTLEL"/>
    <d v="2025-07-25T18:39:34"/>
    <x v="13"/>
    <n v="80"/>
    <n v="0"/>
    <x v="147"/>
    <x v="2"/>
    <x v="4"/>
    <s v="2025"/>
  </r>
  <r>
    <s v="TGP8GDSL6E"/>
    <d v="2025-07-25T15:26:23"/>
    <x v="25"/>
    <n v="0"/>
    <n v="11"/>
    <x v="148"/>
    <x v="2"/>
    <x v="4"/>
    <s v="2025"/>
  </r>
  <r>
    <s v="TGP0F71LQU"/>
    <d v="2025-07-25T10:58:01"/>
    <x v="6"/>
    <n v="0"/>
    <n v="90"/>
    <x v="113"/>
    <x v="2"/>
    <x v="4"/>
    <s v="2025"/>
  </r>
  <r>
    <s v="TGP8F2VGLI"/>
    <d v="2025-07-25T10:30:28"/>
    <x v="19"/>
    <n v="100"/>
    <n v="0"/>
    <x v="149"/>
    <x v="2"/>
    <x v="4"/>
    <s v="2025"/>
  </r>
  <r>
    <s v="TGO5C0Q68X"/>
    <d v="2025-07-24T17:20:45"/>
    <x v="33"/>
    <n v="0"/>
    <n v="17"/>
    <x v="108"/>
    <x v="2"/>
    <x v="5"/>
    <s v="2025"/>
  </r>
  <r>
    <s v="TGO2ABC1N0"/>
    <d v="2025-07-24T10:48:53"/>
    <x v="10"/>
    <n v="0"/>
    <n v="30"/>
    <x v="14"/>
    <x v="2"/>
    <x v="5"/>
    <s v="2025"/>
  </r>
  <r>
    <s v="TGO0A8JVZM"/>
    <d v="2025-07-24T10:29:48"/>
    <x v="6"/>
    <n v="0"/>
    <n v="65"/>
    <x v="15"/>
    <x v="2"/>
    <x v="5"/>
    <s v="2025"/>
  </r>
  <r>
    <s v="TGN584PUFD"/>
    <d v="2025-07-23T19:25:27"/>
    <x v="16"/>
    <n v="100"/>
    <n v="0"/>
    <x v="150"/>
    <x v="2"/>
    <x v="6"/>
    <s v="2025"/>
  </r>
  <r>
    <s v="TGN15K9GVZ"/>
    <d v="2025-07-23T10:41:03"/>
    <x v="10"/>
    <n v="0"/>
    <n v="30"/>
    <x v="151"/>
    <x v="2"/>
    <x v="6"/>
    <s v="2025"/>
  </r>
  <r>
    <s v="TGM412XOLS"/>
    <d v="2025-07-22T11:44:11"/>
    <x v="10"/>
    <n v="0"/>
    <n v="30"/>
    <x v="152"/>
    <x v="2"/>
    <x v="0"/>
    <s v="2025"/>
  </r>
  <r>
    <s v="TGM9ZSU5GP"/>
    <d v="2025-07-22T10:35:52"/>
    <x v="6"/>
    <n v="0"/>
    <n v="25"/>
    <x v="97"/>
    <x v="2"/>
    <x v="0"/>
    <s v="2025"/>
  </r>
  <r>
    <s v="TGL5XN3I8F"/>
    <d v="2025-07-21T19:22:54"/>
    <x v="5"/>
    <n v="0"/>
    <n v="10"/>
    <x v="153"/>
    <x v="2"/>
    <x v="1"/>
    <s v="2025"/>
  </r>
  <r>
    <s v="TGL3WJTOHR"/>
    <d v="2025-07-21T16:21:18"/>
    <x v="5"/>
    <n v="0"/>
    <n v="25"/>
    <x v="95"/>
    <x v="2"/>
    <x v="1"/>
    <s v="2025"/>
  </r>
  <r>
    <s v="TGL0VNWXB0"/>
    <d v="2025-07-21T12:55:14"/>
    <x v="6"/>
    <n v="0"/>
    <n v="65"/>
    <x v="154"/>
    <x v="2"/>
    <x v="1"/>
    <s v="2025"/>
  </r>
  <r>
    <s v="TGL7VCIXKX"/>
    <d v="2025-07-21T11:39:52"/>
    <x v="10"/>
    <n v="0"/>
    <n v="30"/>
    <x v="155"/>
    <x v="2"/>
    <x v="1"/>
    <s v="2025"/>
  </r>
  <r>
    <s v="TGK4T3L22W"/>
    <d v="2025-07-20T19:43:16"/>
    <x v="5"/>
    <n v="0"/>
    <n v="45"/>
    <x v="156"/>
    <x v="2"/>
    <x v="2"/>
    <s v="2025"/>
  </r>
  <r>
    <s v="TGK1RVBR0Z"/>
    <d v="2025-07-20T16:06:13"/>
    <x v="25"/>
    <n v="0"/>
    <n v="11"/>
    <x v="157"/>
    <x v="2"/>
    <x v="2"/>
    <s v="2025"/>
  </r>
  <r>
    <s v="TGK0QR4NNW"/>
    <d v="2025-07-20T11:37:30"/>
    <x v="10"/>
    <n v="0"/>
    <n v="30"/>
    <x v="158"/>
    <x v="2"/>
    <x v="2"/>
    <s v="2025"/>
  </r>
  <r>
    <s v="TGK5QOIJS5"/>
    <d v="2025-07-20T11:17:59"/>
    <x v="6"/>
    <n v="0"/>
    <n v="25"/>
    <x v="159"/>
    <x v="2"/>
    <x v="2"/>
    <s v="2025"/>
  </r>
  <r>
    <s v="TGJ2N25JR6"/>
    <d v="2025-07-19T15:41:34"/>
    <x v="34"/>
    <n v="0"/>
    <n v="50"/>
    <x v="160"/>
    <x v="2"/>
    <x v="3"/>
    <s v="2025"/>
  </r>
  <r>
    <s v="TGJ4N0XI14"/>
    <d v="2025-07-19T15:34:08"/>
    <x v="35"/>
    <n v="0"/>
    <n v="25"/>
    <x v="161"/>
    <x v="2"/>
    <x v="3"/>
    <s v="2025"/>
  </r>
  <r>
    <s v="TGJ5N0OBWF"/>
    <d v="2025-07-19T15:32:36"/>
    <x v="32"/>
    <n v="0"/>
    <n v="40"/>
    <x v="162"/>
    <x v="2"/>
    <x v="3"/>
    <s v="2025"/>
  </r>
  <r>
    <s v="TGJ1M14MI9"/>
    <d v="2025-07-19T11:51:57"/>
    <x v="4"/>
    <n v="0"/>
    <n v="30"/>
    <x v="163"/>
    <x v="2"/>
    <x v="3"/>
    <s v="2025"/>
  </r>
  <r>
    <s v="TGJ5LU8WJF"/>
    <d v="2025-07-19T11:06:51"/>
    <x v="10"/>
    <n v="0"/>
    <n v="30"/>
    <x v="164"/>
    <x v="2"/>
    <x v="3"/>
    <s v="2025"/>
  </r>
  <r>
    <s v="TGJ6LTCUSQ"/>
    <d v="2025-07-19T11:00:54"/>
    <x v="6"/>
    <n v="0"/>
    <n v="25"/>
    <x v="165"/>
    <x v="2"/>
    <x v="3"/>
    <s v="2025"/>
  </r>
  <r>
    <s v="TGI6JFKZBG"/>
    <d v="2025-07-18T19:16:53"/>
    <x v="5"/>
    <n v="0"/>
    <n v="15"/>
    <x v="166"/>
    <x v="2"/>
    <x v="4"/>
    <s v="2025"/>
  </r>
  <r>
    <s v="TGI5JEMDBL"/>
    <d v="2025-07-18T19:13:41"/>
    <x v="5"/>
    <n v="0"/>
    <n v="15"/>
    <x v="167"/>
    <x v="2"/>
    <x v="4"/>
    <s v="2025"/>
  </r>
  <r>
    <s v="TGI5IAX9O1"/>
    <d v="2025-07-18T16:12:13"/>
    <x v="14"/>
    <n v="0"/>
    <n v="50"/>
    <x v="168"/>
    <x v="2"/>
    <x v="4"/>
    <s v="2025"/>
  </r>
  <r>
    <s v="TGI3HT89OV"/>
    <d v="2025-07-18T14:21:22"/>
    <x v="10"/>
    <n v="0"/>
    <n v="30"/>
    <x v="169"/>
    <x v="2"/>
    <x v="4"/>
    <s v="2025"/>
  </r>
  <r>
    <s v="TGI3HQRW5L"/>
    <d v="2025-07-18T14:06:01"/>
    <x v="1"/>
    <n v="0"/>
    <n v="34"/>
    <x v="170"/>
    <x v="2"/>
    <x v="4"/>
    <s v="2025"/>
  </r>
  <r>
    <s v="TGI3HQRW5L"/>
    <d v="2025-07-18T14:06:01"/>
    <x v="36"/>
    <n v="0"/>
    <n v="4400"/>
    <x v="171"/>
    <x v="2"/>
    <x v="4"/>
    <s v="2025"/>
  </r>
  <r>
    <s v="TGI4HOZEJ0"/>
    <d v="2025-07-18T13:54:51"/>
    <x v="25"/>
    <n v="0"/>
    <n v="11"/>
    <x v="172"/>
    <x v="2"/>
    <x v="4"/>
    <s v="2025"/>
  </r>
  <r>
    <s v="TGI4H5FS3G"/>
    <d v="2025-07-18T11:49:51"/>
    <x v="13"/>
    <n v="4000"/>
    <n v="0"/>
    <x v="173"/>
    <x v="2"/>
    <x v="4"/>
    <s v="2025"/>
  </r>
  <r>
    <s v="TGI7H0GX1F"/>
    <d v="2025-07-18T11:17:03"/>
    <x v="19"/>
    <n v="100"/>
    <n v="0"/>
    <x v="174"/>
    <x v="2"/>
    <x v="4"/>
    <s v="2025"/>
  </r>
  <r>
    <s v="TGI3H0A7LX"/>
    <d v="2025-07-18T11:15:51"/>
    <x v="19"/>
    <n v="1000"/>
    <n v="0"/>
    <x v="175"/>
    <x v="2"/>
    <x v="4"/>
    <s v="2025"/>
  </r>
  <r>
    <s v="TGH1C4FQK9"/>
    <d v="2025-07-17T10:59:25"/>
    <x v="10"/>
    <n v="0"/>
    <n v="30"/>
    <x v="83"/>
    <x v="2"/>
    <x v="5"/>
    <s v="2025"/>
  </r>
  <r>
    <s v="TGG78GYCHZ"/>
    <d v="2025-07-16T15:28:26"/>
    <x v="10"/>
    <n v="0"/>
    <n v="30"/>
    <x v="176"/>
    <x v="2"/>
    <x v="6"/>
    <s v="2025"/>
  </r>
  <r>
    <s v="TGG28FDSF8"/>
    <d v="2025-07-16T15:18:21"/>
    <x v="19"/>
    <n v="30"/>
    <n v="0"/>
    <x v="77"/>
    <x v="2"/>
    <x v="6"/>
    <s v="2025"/>
  </r>
  <r>
    <s v="TGG48EWQAE"/>
    <d v="2025-07-16T15:15:15"/>
    <x v="19"/>
    <n v="30"/>
    <n v="0"/>
    <x v="176"/>
    <x v="2"/>
    <x v="6"/>
    <s v="2025"/>
  </r>
  <r>
    <s v="TGG074GG98"/>
    <d v="2025-07-16T10:13:21"/>
    <x v="6"/>
    <n v="0"/>
    <n v="20"/>
    <x v="83"/>
    <x v="2"/>
    <x v="6"/>
    <s v="2025"/>
  </r>
  <r>
    <s v="TGF75PZPOX"/>
    <d v="2025-07-15T21:08:19"/>
    <x v="10"/>
    <n v="0"/>
    <n v="30"/>
    <x v="84"/>
    <x v="2"/>
    <x v="0"/>
    <s v="2025"/>
  </r>
  <r>
    <s v="TGF84ZI470"/>
    <d v="2025-07-15T19:19:01"/>
    <x v="5"/>
    <n v="0"/>
    <n v="80"/>
    <x v="177"/>
    <x v="2"/>
    <x v="0"/>
    <s v="2025"/>
  </r>
  <r>
    <s v="TGF24XTQ32"/>
    <d v="2025-07-15T19:13:09"/>
    <x v="19"/>
    <n v="100"/>
    <n v="0"/>
    <x v="178"/>
    <x v="2"/>
    <x v="0"/>
    <s v="2025"/>
  </r>
  <r>
    <s v="TGE4Y4NFGC"/>
    <d v="2025-07-14T16:10:43"/>
    <x v="10"/>
    <n v="0"/>
    <n v="30"/>
    <x v="176"/>
    <x v="2"/>
    <x v="1"/>
    <s v="2025"/>
  </r>
  <r>
    <s v="TGE5X4DFCX"/>
    <d v="2025-07-14T12:21:18"/>
    <x v="37"/>
    <n v="0"/>
    <n v="15"/>
    <x v="77"/>
    <x v="2"/>
    <x v="1"/>
    <s v="2025"/>
  </r>
  <r>
    <s v="TGE5WXWF0N"/>
    <d v="2025-07-14T11:38:12"/>
    <x v="6"/>
    <n v="0"/>
    <n v="25"/>
    <x v="81"/>
    <x v="2"/>
    <x v="1"/>
    <s v="2025"/>
  </r>
  <r>
    <s v="TGE0WWEIHW"/>
    <d v="2025-07-14T11:28:20"/>
    <x v="19"/>
    <n v="100"/>
    <n v="0"/>
    <x v="179"/>
    <x v="2"/>
    <x v="1"/>
    <s v="2025"/>
  </r>
  <r>
    <s v="TGD0SE4C4S"/>
    <d v="2025-07-13T12:02:19"/>
    <x v="28"/>
    <n v="0"/>
    <n v="3"/>
    <x v="83"/>
    <x v="2"/>
    <x v="2"/>
    <s v="2025"/>
  </r>
  <r>
    <s v="TGD8S90M4K"/>
    <d v="2025-07-13T11:25:17"/>
    <x v="10"/>
    <n v="0"/>
    <n v="30"/>
    <x v="180"/>
    <x v="2"/>
    <x v="2"/>
    <s v="2025"/>
  </r>
  <r>
    <s v="TGC8N3JY9A"/>
    <d v="2025-07-12T10:23:20"/>
    <x v="10"/>
    <n v="0"/>
    <n v="30"/>
    <x v="181"/>
    <x v="2"/>
    <x v="3"/>
    <s v="2025"/>
  </r>
  <r>
    <s v="TGB3LWXNRH"/>
    <d v="2025-07-11T22:23:39"/>
    <x v="25"/>
    <n v="0"/>
    <n v="11"/>
    <x v="182"/>
    <x v="2"/>
    <x v="4"/>
    <s v="2025"/>
  </r>
  <r>
    <s v="TGB6JYXD34"/>
    <d v="2025-07-11T17:02:01"/>
    <x v="5"/>
    <n v="0"/>
    <n v="10"/>
    <x v="183"/>
    <x v="2"/>
    <x v="4"/>
    <s v="2025"/>
  </r>
  <r>
    <s v="TGB6JYOWT8"/>
    <d v="2025-07-11T17:00:54"/>
    <x v="5"/>
    <n v="0"/>
    <n v="265"/>
    <x v="16"/>
    <x v="2"/>
    <x v="4"/>
    <s v="2025"/>
  </r>
  <r>
    <s v="TGB1JWEUSN"/>
    <d v="2025-07-11T16:49:16"/>
    <x v="12"/>
    <n v="0"/>
    <n v="60"/>
    <x v="20"/>
    <x v="2"/>
    <x v="4"/>
    <s v="2025"/>
  </r>
  <r>
    <s v="TGB4IIM5W4"/>
    <d v="2025-07-11T11:53:29"/>
    <x v="37"/>
    <n v="0"/>
    <n v="29"/>
    <x v="184"/>
    <x v="2"/>
    <x v="4"/>
    <s v="2025"/>
  </r>
  <r>
    <s v="TGB3I46LQD"/>
    <d v="2025-07-11T10:20:40"/>
    <x v="25"/>
    <n v="0"/>
    <n v="11"/>
    <x v="185"/>
    <x v="2"/>
    <x v="4"/>
    <s v="2025"/>
  </r>
  <r>
    <s v="TGB5HUV651"/>
    <d v="2025-07-11T09:18:48"/>
    <x v="37"/>
    <n v="0"/>
    <n v="10"/>
    <x v="21"/>
    <x v="2"/>
    <x v="4"/>
    <s v="2025"/>
  </r>
  <r>
    <s v="TGB5HRQRIZ"/>
    <d v="2025-07-11T08:57:14"/>
    <x v="10"/>
    <n v="0"/>
    <n v="30"/>
    <x v="186"/>
    <x v="2"/>
    <x v="4"/>
    <s v="2025"/>
  </r>
  <r>
    <s v="TGA4EP5988"/>
    <d v="2025-07-10T16:11:06"/>
    <x v="10"/>
    <n v="0"/>
    <n v="30"/>
    <x v="187"/>
    <x v="2"/>
    <x v="5"/>
    <s v="2025"/>
  </r>
  <r>
    <s v="TGA0EOVI4E"/>
    <d v="2025-07-10T16:09:29"/>
    <x v="7"/>
    <n v="0"/>
    <n v="53"/>
    <x v="188"/>
    <x v="2"/>
    <x v="5"/>
    <s v="2025"/>
  </r>
  <r>
    <s v="TGA0EOVI4E"/>
    <d v="2025-07-10T16:09:29"/>
    <x v="8"/>
    <n v="0"/>
    <n v="3200"/>
    <x v="189"/>
    <x v="2"/>
    <x v="5"/>
    <s v="2025"/>
  </r>
  <r>
    <s v="TGA6ELNED6"/>
    <d v="2025-07-10T15:50:13"/>
    <x v="5"/>
    <n v="0"/>
    <n v="1235"/>
    <x v="190"/>
    <x v="2"/>
    <x v="5"/>
    <s v="2025"/>
  </r>
  <r>
    <s v="TGA4EHNVH2"/>
    <d v="2025-07-10T15:25:54"/>
    <x v="38"/>
    <n v="0"/>
    <n v="80"/>
    <x v="191"/>
    <x v="2"/>
    <x v="5"/>
    <s v="2025"/>
  </r>
  <r>
    <s v="TGA0EGK780"/>
    <d v="2025-07-10T15:19:08"/>
    <x v="24"/>
    <n v="0"/>
    <n v="100"/>
    <x v="192"/>
    <x v="2"/>
    <x v="5"/>
    <s v="2025"/>
  </r>
  <r>
    <s v="TGA7EEXFV5"/>
    <d v="2025-07-10T15:08:57"/>
    <x v="39"/>
    <n v="0"/>
    <n v="55"/>
    <x v="193"/>
    <x v="2"/>
    <x v="5"/>
    <s v="2025"/>
  </r>
  <r>
    <s v="TGA1DYMYBH"/>
    <d v="2025-07-10T13:29:41"/>
    <x v="33"/>
    <n v="0"/>
    <n v="22"/>
    <x v="194"/>
    <x v="2"/>
    <x v="5"/>
    <s v="2025"/>
  </r>
  <r>
    <s v="TGA3DLVNRN"/>
    <d v="2025-07-10T12:10:49"/>
    <x v="3"/>
    <n v="5000"/>
    <n v="0"/>
    <x v="195"/>
    <x v="2"/>
    <x v="5"/>
    <s v="2025"/>
  </r>
  <r>
    <s v="TG97B8YGBR"/>
    <d v="2025-07-09T20:02:22"/>
    <x v="5"/>
    <n v="0"/>
    <n v="30"/>
    <x v="196"/>
    <x v="2"/>
    <x v="6"/>
    <s v="2025"/>
  </r>
  <r>
    <s v="TG94B8OLKA"/>
    <d v="2025-07-09T20:01:19"/>
    <x v="4"/>
    <n v="0"/>
    <n v="30"/>
    <x v="197"/>
    <x v="2"/>
    <x v="6"/>
    <s v="2025"/>
  </r>
  <r>
    <s v="TG99B7GVM7"/>
    <d v="2025-07-09T19:56:38"/>
    <x v="22"/>
    <n v="0"/>
    <n v="25"/>
    <x v="198"/>
    <x v="2"/>
    <x v="6"/>
    <s v="2025"/>
  </r>
  <r>
    <s v="TG939L0AOT"/>
    <d v="2025-07-09T15:33:02"/>
    <x v="10"/>
    <n v="0"/>
    <n v="30"/>
    <x v="20"/>
    <x v="2"/>
    <x v="6"/>
    <s v="2025"/>
  </r>
  <r>
    <s v="TG969GQ5DC"/>
    <d v="2025-07-09T15:06:00"/>
    <x v="5"/>
    <n v="0"/>
    <n v="115"/>
    <x v="199"/>
    <x v="2"/>
    <x v="6"/>
    <s v="2025"/>
  </r>
  <r>
    <s v="TG998C7EDZ"/>
    <d v="2025-07-09T10:47:37"/>
    <x v="16"/>
    <n v="100"/>
    <n v="0"/>
    <x v="200"/>
    <x v="2"/>
    <x v="6"/>
    <s v="2025"/>
  </r>
  <r>
    <s v="TG958C0ANH"/>
    <d v="2025-07-09T10:46:23"/>
    <x v="16"/>
    <n v="100"/>
    <n v="0"/>
    <x v="201"/>
    <x v="2"/>
    <x v="6"/>
    <s v="2025"/>
  </r>
  <r>
    <s v="TG836Y8ZIH"/>
    <d v="2025-07-08T21:44:53"/>
    <x v="10"/>
    <n v="0"/>
    <n v="30"/>
    <x v="197"/>
    <x v="2"/>
    <x v="0"/>
    <s v="2025"/>
  </r>
  <r>
    <s v="TG885YGXA0"/>
    <d v="2025-07-08T19:07:15"/>
    <x v="5"/>
    <n v="0"/>
    <n v="40"/>
    <x v="198"/>
    <x v="2"/>
    <x v="0"/>
    <s v="2025"/>
  </r>
  <r>
    <s v="TG835XYCSL"/>
    <d v="2025-07-08T19:05:22"/>
    <x v="4"/>
    <n v="0"/>
    <n v="20"/>
    <x v="202"/>
    <x v="2"/>
    <x v="0"/>
    <s v="2025"/>
  </r>
  <r>
    <s v="TG825WVC0M"/>
    <d v="2025-07-08T19:01:28"/>
    <x v="15"/>
    <n v="0"/>
    <n v="60"/>
    <x v="203"/>
    <x v="2"/>
    <x v="0"/>
    <s v="2025"/>
  </r>
  <r>
    <s v="TG8247TYXA"/>
    <d v="2025-07-08T13:41:42"/>
    <x v="5"/>
    <n v="0"/>
    <n v="55"/>
    <x v="204"/>
    <x v="2"/>
    <x v="0"/>
    <s v="2025"/>
  </r>
  <r>
    <s v="TG873LUNIH"/>
    <d v="2025-07-08T11:25:23"/>
    <x v="10"/>
    <n v="0"/>
    <n v="30"/>
    <x v="205"/>
    <x v="2"/>
    <x v="0"/>
    <s v="2025"/>
  </r>
  <r>
    <s v="TG893DCZ4R"/>
    <d v="2025-07-08T10:30:40"/>
    <x v="6"/>
    <n v="0"/>
    <n v="45"/>
    <x v="206"/>
    <x v="2"/>
    <x v="0"/>
    <s v="2025"/>
  </r>
  <r>
    <s v="TG791T9CHL"/>
    <d v="2025-07-07T20:32:54"/>
    <x v="10"/>
    <n v="0"/>
    <n v="30"/>
    <x v="207"/>
    <x v="2"/>
    <x v="1"/>
    <s v="2025"/>
  </r>
  <r>
    <s v="TG761PWWY2"/>
    <d v="2025-07-07T20:16:11"/>
    <x v="5"/>
    <n v="0"/>
    <n v="45"/>
    <x v="208"/>
    <x v="2"/>
    <x v="1"/>
    <s v="2025"/>
  </r>
  <r>
    <s v="TG741I9M4K"/>
    <d v="2025-07-07T19:41:55"/>
    <x v="13"/>
    <n v="500"/>
    <n v="0"/>
    <x v="209"/>
    <x v="2"/>
    <x v="1"/>
    <s v="2025"/>
  </r>
  <r>
    <s v="TG78ZXWZE4"/>
    <d v="2025-07-07T18:13:47"/>
    <x v="38"/>
    <n v="0"/>
    <n v="35"/>
    <x v="210"/>
    <x v="2"/>
    <x v="1"/>
    <s v="2025"/>
  </r>
  <r>
    <s v="TG72ZXCUCK"/>
    <d v="2025-07-07T18:10:57"/>
    <x v="40"/>
    <n v="0"/>
    <n v="25"/>
    <x v="17"/>
    <x v="2"/>
    <x v="1"/>
    <s v="2025"/>
  </r>
  <r>
    <s v="TG72ZEJLIA"/>
    <d v="2025-07-07T16:17:15"/>
    <x v="5"/>
    <n v="0"/>
    <n v="30"/>
    <x v="211"/>
    <x v="2"/>
    <x v="1"/>
    <s v="2025"/>
  </r>
  <r>
    <s v="TG71ZE555H"/>
    <d v="2025-07-07T16:14:27"/>
    <x v="4"/>
    <n v="0"/>
    <n v="60"/>
    <x v="212"/>
    <x v="2"/>
    <x v="1"/>
    <s v="2025"/>
  </r>
  <r>
    <s v="TG73ZD2OK9"/>
    <d v="2025-07-07T16:06:42"/>
    <x v="13"/>
    <n v="300"/>
    <n v="0"/>
    <x v="213"/>
    <x v="2"/>
    <x v="1"/>
    <s v="2025"/>
  </r>
  <r>
    <s v="TG62WBMNA4"/>
    <d v="2025-07-06T20:01:24"/>
    <x v="10"/>
    <n v="0"/>
    <n v="20"/>
    <x v="214"/>
    <x v="2"/>
    <x v="2"/>
    <s v="2025"/>
  </r>
  <r>
    <s v="TG61WB0QY3"/>
    <d v="2025-07-06T19:58:52"/>
    <x v="13"/>
    <n v="7"/>
    <n v="0"/>
    <x v="151"/>
    <x v="2"/>
    <x v="2"/>
    <s v="2025"/>
  </r>
  <r>
    <s v="TG63WARVCL"/>
    <d v="2025-07-06T19:57:50"/>
    <x v="25"/>
    <n v="0"/>
    <n v="6"/>
    <x v="215"/>
    <x v="2"/>
    <x v="2"/>
    <s v="2025"/>
  </r>
  <r>
    <s v="TG68W7UEBY"/>
    <d v="2025-07-06T19:45:57"/>
    <x v="7"/>
    <n v="0"/>
    <n v="7"/>
    <x v="216"/>
    <x v="2"/>
    <x v="2"/>
    <s v="2025"/>
  </r>
  <r>
    <s v="TG68W7UEBY"/>
    <d v="2025-07-06T19:45:57"/>
    <x v="11"/>
    <n v="0"/>
    <n v="500"/>
    <x v="217"/>
    <x v="2"/>
    <x v="2"/>
    <s v="2025"/>
  </r>
  <r>
    <s v="TG62W4GRJ4"/>
    <d v="2025-07-06T19:32:56"/>
    <x v="13"/>
    <n v="500"/>
    <n v="0"/>
    <x v="218"/>
    <x v="2"/>
    <x v="2"/>
    <s v="2025"/>
  </r>
  <r>
    <s v="TG68VJL7NC"/>
    <d v="2025-07-06T18:06:12"/>
    <x v="25"/>
    <n v="0"/>
    <n v="6"/>
    <x v="217"/>
    <x v="2"/>
    <x v="2"/>
    <s v="2025"/>
  </r>
  <r>
    <s v="TG67TGEKRL"/>
    <d v="2025-07-06T10:23:00"/>
    <x v="5"/>
    <n v="0"/>
    <n v="60"/>
    <x v="219"/>
    <x v="2"/>
    <x v="2"/>
    <s v="2025"/>
  </r>
  <r>
    <s v="TG65T5XQE3"/>
    <d v="2025-07-06T09:07:54"/>
    <x v="13"/>
    <n v="30"/>
    <n v="0"/>
    <x v="121"/>
    <x v="2"/>
    <x v="2"/>
    <s v="20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0AA52-EE87-4E77-B941-5F5D2F07B90E}"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2:H9" firstHeaderRow="1" firstDataRow="1" firstDataCol="1"/>
  <pivotFields count="9">
    <pivotField showAll="0"/>
    <pivotField numFmtId="22" showAll="0"/>
    <pivotField axis="axisRow" showAll="0">
      <items count="42">
        <item x="0"/>
        <item x="6"/>
        <item x="39"/>
        <item x="4"/>
        <item x="27"/>
        <item x="7"/>
        <item x="8"/>
        <item x="29"/>
        <item x="31"/>
        <item x="11"/>
        <item x="34"/>
        <item x="15"/>
        <item x="20"/>
        <item x="40"/>
        <item x="22"/>
        <item x="16"/>
        <item x="19"/>
        <item x="13"/>
        <item x="9"/>
        <item x="26"/>
        <item x="3"/>
        <item x="37"/>
        <item x="38"/>
        <item x="18"/>
        <item x="5"/>
        <item x="32"/>
        <item x="14"/>
        <item x="12"/>
        <item x="24"/>
        <item x="35"/>
        <item x="1"/>
        <item x="2"/>
        <item x="23"/>
        <item x="25"/>
        <item x="33"/>
        <item x="28"/>
        <item x="17"/>
        <item x="10"/>
        <item x="30"/>
        <item x="36"/>
        <item x="21"/>
        <item t="default"/>
      </items>
    </pivotField>
    <pivotField dataField="1" showAll="0"/>
    <pivotField showAll="0"/>
    <pivotField showAll="0"/>
    <pivotField showAll="0">
      <items count="4">
        <item x="2"/>
        <item x="1"/>
        <item x="0"/>
        <item t="default"/>
      </items>
    </pivotField>
    <pivotField showAll="0">
      <items count="8">
        <item x="2"/>
        <item x="1"/>
        <item x="0"/>
        <item x="6"/>
        <item x="5"/>
        <item x="4"/>
        <item x="3"/>
        <item t="default"/>
      </items>
    </pivotField>
    <pivotField showAll="0"/>
  </pivotFields>
  <rowFields count="1">
    <field x="2"/>
  </rowFields>
  <rowItems count="7">
    <i>
      <x v="15"/>
    </i>
    <i>
      <x v="16"/>
    </i>
    <i>
      <x v="17"/>
    </i>
    <i>
      <x v="18"/>
    </i>
    <i>
      <x v="19"/>
    </i>
    <i>
      <x v="20"/>
    </i>
    <i t="grand">
      <x/>
    </i>
  </rowItems>
  <colItems count="1">
    <i/>
  </colItems>
  <dataFields count="1">
    <dataField name="Sum of Amount Received to Mpesa" fld="3" baseField="0" baseItem="0"/>
  </dataFields>
  <chartFormats count="7">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15"/>
          </reference>
        </references>
      </pivotArea>
    </chartFormat>
    <chartFormat chart="1" format="3">
      <pivotArea type="data" outline="0" fieldPosition="0">
        <references count="2">
          <reference field="4294967294" count="1" selected="0">
            <x v="0"/>
          </reference>
          <reference field="2" count="1" selected="0">
            <x v="16"/>
          </reference>
        </references>
      </pivotArea>
    </chartFormat>
    <chartFormat chart="1" format="4">
      <pivotArea type="data" outline="0" fieldPosition="0">
        <references count="2">
          <reference field="4294967294" count="1" selected="0">
            <x v="0"/>
          </reference>
          <reference field="2" count="1" selected="0">
            <x v="17"/>
          </reference>
        </references>
      </pivotArea>
    </chartFormat>
    <chartFormat chart="1" format="5">
      <pivotArea type="data" outline="0" fieldPosition="0">
        <references count="2">
          <reference field="4294967294" count="1" selected="0">
            <x v="0"/>
          </reference>
          <reference field="2" count="1" selected="0">
            <x v="18"/>
          </reference>
        </references>
      </pivotArea>
    </chartFormat>
    <chartFormat chart="1" format="6">
      <pivotArea type="data" outline="0" fieldPosition="0">
        <references count="2">
          <reference field="4294967294" count="1" selected="0">
            <x v="0"/>
          </reference>
          <reference field="2" count="1" selected="0">
            <x v="19"/>
          </reference>
        </references>
      </pivotArea>
    </chartFormat>
    <chartFormat chart="1" format="7">
      <pivotArea type="data" outline="0" fieldPosition="0">
        <references count="2">
          <reference field="4294967294" count="1" selected="0">
            <x v="0"/>
          </reference>
          <reference field="2" count="1" selected="0">
            <x v="20"/>
          </reference>
        </references>
      </pivotArea>
    </chartFormat>
  </chartFormats>
  <pivotTableStyleInfo name="PivotStyleLight16" showRowHeaders="1" showColHeaders="1" showRowStripes="0" showColStripes="0" showLastColumn="1"/>
  <filters count="1">
    <filter fld="2" type="captionContains" evalOrder="-1" id="1" stringValue1="Received">
      <autoFilter ref="A1">
        <filterColumn colId="0">
          <customFilters>
            <customFilter val="*Received*"/>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844A8C-12EF-4726-828B-CAD91BE37F26}"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D2:E4" firstHeaderRow="1" firstDataRow="1" firstDataCol="1"/>
  <pivotFields count="9">
    <pivotField showAll="0"/>
    <pivotField numFmtId="22" showAll="0"/>
    <pivotField axis="axisRow" showAll="0">
      <items count="42">
        <item h="1" x="0"/>
        <item h="1" x="6"/>
        <item h="1" x="39"/>
        <item x="4"/>
        <item h="1" x="27"/>
        <item h="1" x="7"/>
        <item h="1" x="8"/>
        <item h="1" x="29"/>
        <item h="1" x="31"/>
        <item h="1" x="11"/>
        <item h="1" x="34"/>
        <item h="1" x="15"/>
        <item h="1" x="20"/>
        <item h="1" x="40"/>
        <item h="1" x="22"/>
        <item h="1" x="16"/>
        <item h="1" x="19"/>
        <item h="1" x="13"/>
        <item h="1" x="9"/>
        <item h="1" x="26"/>
        <item h="1" x="3"/>
        <item h="1" x="37"/>
        <item h="1" x="38"/>
        <item h="1" x="18"/>
        <item h="1" x="5"/>
        <item h="1" x="32"/>
        <item h="1" x="14"/>
        <item h="1" x="12"/>
        <item h="1" x="24"/>
        <item h="1" x="35"/>
        <item h="1" x="1"/>
        <item h="1" x="2"/>
        <item h="1" x="23"/>
        <item h="1" x="25"/>
        <item h="1" x="33"/>
        <item h="1" x="28"/>
        <item h="1" x="17"/>
        <item h="1" x="10"/>
        <item h="1" x="30"/>
        <item h="1" x="36"/>
        <item h="1" x="21"/>
        <item t="default"/>
      </items>
    </pivotField>
    <pivotField showAll="0"/>
    <pivotField dataField="1" showAll="0"/>
    <pivotField showAll="0"/>
    <pivotField showAll="0">
      <items count="4">
        <item x="2"/>
        <item x="1"/>
        <item x="0"/>
        <item t="default"/>
      </items>
    </pivotField>
    <pivotField showAll="0">
      <items count="8">
        <item x="2"/>
        <item x="1"/>
        <item x="0"/>
        <item x="6"/>
        <item x="5"/>
        <item x="4"/>
        <item x="3"/>
        <item t="default"/>
      </items>
    </pivotField>
    <pivotField showAll="0"/>
  </pivotFields>
  <rowFields count="1">
    <field x="2"/>
  </rowFields>
  <rowItems count="2">
    <i>
      <x v="3"/>
    </i>
    <i t="grand">
      <x/>
    </i>
  </rowItems>
  <colItems count="1">
    <i/>
  </colItems>
  <dataFields count="1">
    <dataField name="Sum of Amount Sent to Others" fld="4" baseField="6"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575036-8719-413D-8DC3-13A1680649C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2:B22" firstHeaderRow="1" firstDataRow="1" firstDataCol="1"/>
  <pivotFields count="9">
    <pivotField showAll="0"/>
    <pivotField numFmtId="22" showAll="0"/>
    <pivotField showAll="0"/>
    <pivotField showAll="0"/>
    <pivotField dataField="1" showAll="0"/>
    <pivotField showAll="0"/>
    <pivotField axis="axisRow" showAll="0">
      <items count="4">
        <item x="2"/>
        <item x="1"/>
        <item x="0"/>
        <item t="default"/>
      </items>
    </pivotField>
    <pivotField axis="axisRow" showAll="0">
      <items count="8">
        <item x="2"/>
        <item x="1"/>
        <item x="0"/>
        <item x="6"/>
        <item x="5"/>
        <item x="4"/>
        <item x="3"/>
        <item t="default"/>
      </items>
    </pivotField>
    <pivotField showAll="0"/>
  </pivotFields>
  <rowFields count="2">
    <field x="6"/>
    <field x="7"/>
  </rowFields>
  <rowItems count="20">
    <i>
      <x/>
    </i>
    <i r="1">
      <x/>
    </i>
    <i r="1">
      <x v="1"/>
    </i>
    <i r="1">
      <x v="2"/>
    </i>
    <i r="1">
      <x v="3"/>
    </i>
    <i r="1">
      <x v="4"/>
    </i>
    <i r="1">
      <x v="5"/>
    </i>
    <i r="1">
      <x v="6"/>
    </i>
    <i>
      <x v="1"/>
    </i>
    <i r="1">
      <x/>
    </i>
    <i r="1">
      <x v="1"/>
    </i>
    <i r="1">
      <x v="2"/>
    </i>
    <i r="1">
      <x v="3"/>
    </i>
    <i r="1">
      <x v="4"/>
    </i>
    <i r="1">
      <x v="5"/>
    </i>
    <i r="1">
      <x v="6"/>
    </i>
    <i>
      <x v="2"/>
    </i>
    <i r="1">
      <x v="1"/>
    </i>
    <i r="1">
      <x v="2"/>
    </i>
    <i t="grand">
      <x/>
    </i>
  </rowItems>
  <colItems count="1">
    <i/>
  </colItems>
  <dataFields count="1">
    <dataField name="Sum of Amount Sent to Others" fld="4" baseField="6" baseItem="0" numFmtId="164"/>
  </dataFields>
  <formats count="9">
    <format dxfId="19">
      <pivotArea type="all" dataOnly="0" outline="0" fieldPosition="0"/>
    </format>
    <format dxfId="18">
      <pivotArea outline="0" collapsedLevelsAreSubtotals="1" fieldPosition="0"/>
    </format>
    <format dxfId="17">
      <pivotArea field="6" type="button" dataOnly="0" labelOnly="1" outline="0" axis="axisRow" fieldPosition="0"/>
    </format>
    <format dxfId="16">
      <pivotArea dataOnly="0" labelOnly="1" fieldPosition="0">
        <references count="1">
          <reference field="6" count="0"/>
        </references>
      </pivotArea>
    </format>
    <format dxfId="15">
      <pivotArea dataOnly="0" labelOnly="1" grandRow="1" outline="0" fieldPosition="0"/>
    </format>
    <format dxfId="14">
      <pivotArea dataOnly="0" labelOnly="1" fieldPosition="0">
        <references count="2">
          <reference field="6" count="1" selected="0">
            <x v="0"/>
          </reference>
          <reference field="7" count="0"/>
        </references>
      </pivotArea>
    </format>
    <format dxfId="13">
      <pivotArea dataOnly="0" labelOnly="1" fieldPosition="0">
        <references count="2">
          <reference field="6" count="1" selected="0">
            <x v="1"/>
          </reference>
          <reference field="7" count="0"/>
        </references>
      </pivotArea>
    </format>
    <format dxfId="12">
      <pivotArea dataOnly="0" labelOnly="1" fieldPosition="0">
        <references count="2">
          <reference field="6" count="1" selected="0">
            <x v="2"/>
          </reference>
          <reference field="7" count="2">
            <x v="1"/>
            <x v="2"/>
          </reference>
        </references>
      </pivotArea>
    </format>
    <format dxfId="11">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6E6330-22D3-4983-A9B3-5B5FC37D16D6}"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3:O23" firstHeaderRow="1" firstDataRow="1" firstDataCol="1"/>
  <pivotFields count="9">
    <pivotField showAll="0"/>
    <pivotField numFmtId="22" showAll="0"/>
    <pivotField showAll="0"/>
    <pivotField showAll="0"/>
    <pivotField showAll="0"/>
    <pivotField dataField="1" showAll="0">
      <items count="221">
        <item x="122"/>
        <item x="112"/>
        <item x="13"/>
        <item x="146"/>
        <item x="214"/>
        <item x="83"/>
        <item x="123"/>
        <item x="180"/>
        <item x="107"/>
        <item x="148"/>
        <item x="108"/>
        <item x="90"/>
        <item x="215"/>
        <item x="96"/>
        <item x="76"/>
        <item x="113"/>
        <item x="216"/>
        <item x="151"/>
        <item x="84"/>
        <item x="85"/>
        <item x="14"/>
        <item x="217"/>
        <item x="116"/>
        <item x="176"/>
        <item x="219"/>
        <item x="181"/>
        <item x="73"/>
        <item x="91"/>
        <item x="110"/>
        <item x="115"/>
        <item x="80"/>
        <item x="124"/>
        <item x="114"/>
        <item x="152"/>
        <item x="177"/>
        <item x="125"/>
        <item x="15"/>
        <item x="77"/>
        <item x="120"/>
        <item x="182"/>
        <item x="92"/>
        <item x="109"/>
        <item x="89"/>
        <item x="93"/>
        <item x="111"/>
        <item x="183"/>
        <item x="81"/>
        <item x="97"/>
        <item x="82"/>
        <item x="16"/>
        <item x="74"/>
        <item x="147"/>
        <item x="94"/>
        <item x="78"/>
        <item x="121"/>
        <item x="179"/>
        <item x="153"/>
        <item x="149"/>
        <item x="98"/>
        <item x="95"/>
        <item x="75"/>
        <item x="150"/>
        <item x="86"/>
        <item x="99"/>
        <item x="101"/>
        <item x="178"/>
        <item x="126"/>
        <item x="154"/>
        <item x="79"/>
        <item x="210"/>
        <item x="87"/>
        <item x="106"/>
        <item x="127"/>
        <item x="88"/>
        <item x="102"/>
        <item x="100"/>
        <item x="17"/>
        <item x="128"/>
        <item x="129"/>
        <item x="103"/>
        <item x="155"/>
        <item x="211"/>
        <item x="104"/>
        <item x="156"/>
        <item x="212"/>
        <item x="105"/>
        <item x="196"/>
        <item x="130"/>
        <item x="157"/>
        <item x="18"/>
        <item x="131"/>
        <item x="158"/>
        <item x="197"/>
        <item x="213"/>
        <item x="19"/>
        <item x="132"/>
        <item x="159"/>
        <item x="198"/>
        <item x="133"/>
        <item x="160"/>
        <item x="134"/>
        <item x="20"/>
        <item x="202"/>
        <item x="135"/>
        <item x="199"/>
        <item x="203"/>
        <item x="201"/>
        <item x="161"/>
        <item x="136"/>
        <item x="184"/>
        <item x="162"/>
        <item x="117"/>
        <item x="118"/>
        <item x="185"/>
        <item x="137"/>
        <item x="204"/>
        <item x="21"/>
        <item x="186"/>
        <item x="163"/>
        <item x="138"/>
        <item x="139"/>
        <item x="187"/>
        <item x="164"/>
        <item x="200"/>
        <item x="205"/>
        <item x="22"/>
        <item x="188"/>
        <item x="165"/>
        <item x="218"/>
        <item x="206"/>
        <item x="23"/>
        <item x="166"/>
        <item x="167"/>
        <item x="140"/>
        <item x="189"/>
        <item x="207"/>
        <item x="168"/>
        <item x="208"/>
        <item x="169"/>
        <item x="209"/>
        <item x="170"/>
        <item x="141"/>
        <item x="24"/>
        <item x="171"/>
        <item x="25"/>
        <item x="142"/>
        <item x="143"/>
        <item x="26"/>
        <item x="144"/>
        <item x="119"/>
        <item x="145"/>
        <item x="175"/>
        <item x="174"/>
        <item x="190"/>
        <item x="27"/>
        <item x="34"/>
        <item x="29"/>
        <item x="28"/>
        <item x="35"/>
        <item x="37"/>
        <item x="41"/>
        <item x="30"/>
        <item x="38"/>
        <item x="42"/>
        <item x="36"/>
        <item x="43"/>
        <item x="39"/>
        <item x="31"/>
        <item x="44"/>
        <item x="45"/>
        <item x="40"/>
        <item x="32"/>
        <item x="33"/>
        <item x="46"/>
        <item x="47"/>
        <item x="48"/>
        <item x="49"/>
        <item x="51"/>
        <item x="52"/>
        <item x="50"/>
        <item x="53"/>
        <item x="54"/>
        <item x="55"/>
        <item x="56"/>
        <item x="57"/>
        <item x="58"/>
        <item x="59"/>
        <item x="60"/>
        <item x="61"/>
        <item x="62"/>
        <item x="63"/>
        <item x="64"/>
        <item x="65"/>
        <item x="66"/>
        <item x="67"/>
        <item x="68"/>
        <item x="191"/>
        <item x="69"/>
        <item x="192"/>
        <item x="172"/>
        <item x="173"/>
        <item x="193"/>
        <item x="194"/>
        <item x="195"/>
        <item x="70"/>
        <item x="71"/>
        <item x="72"/>
        <item x="4"/>
        <item x="5"/>
        <item x="6"/>
        <item x="7"/>
        <item x="8"/>
        <item x="9"/>
        <item x="10"/>
        <item x="11"/>
        <item x="0"/>
        <item x="1"/>
        <item x="2"/>
        <item x="3"/>
        <item x="12"/>
        <item t="default"/>
      </items>
    </pivotField>
    <pivotField axis="axisRow" showAll="0">
      <items count="4">
        <item x="2"/>
        <item x="1"/>
        <item x="0"/>
        <item t="default"/>
      </items>
    </pivotField>
    <pivotField axis="axisRow" showAll="0">
      <items count="8">
        <item x="2"/>
        <item x="1"/>
        <item x="0"/>
        <item x="6"/>
        <item x="5"/>
        <item x="4"/>
        <item x="3"/>
        <item t="default"/>
      </items>
    </pivotField>
    <pivotField showAll="0"/>
  </pivotFields>
  <rowFields count="2">
    <field x="6"/>
    <field x="7"/>
  </rowFields>
  <rowItems count="20">
    <i>
      <x/>
    </i>
    <i r="1">
      <x/>
    </i>
    <i r="1">
      <x v="1"/>
    </i>
    <i r="1">
      <x v="2"/>
    </i>
    <i r="1">
      <x v="3"/>
    </i>
    <i r="1">
      <x v="4"/>
    </i>
    <i r="1">
      <x v="5"/>
    </i>
    <i r="1">
      <x v="6"/>
    </i>
    <i>
      <x v="1"/>
    </i>
    <i r="1">
      <x/>
    </i>
    <i r="1">
      <x v="1"/>
    </i>
    <i r="1">
      <x v="2"/>
    </i>
    <i r="1">
      <x v="3"/>
    </i>
    <i r="1">
      <x v="4"/>
    </i>
    <i r="1">
      <x v="5"/>
    </i>
    <i r="1">
      <x v="6"/>
    </i>
    <i>
      <x v="2"/>
    </i>
    <i r="1">
      <x v="1"/>
    </i>
    <i r="1">
      <x v="2"/>
    </i>
    <i t="grand">
      <x/>
    </i>
  </rowItems>
  <colItems count="1">
    <i/>
  </colItems>
  <dataFields count="1">
    <dataField name="Sum of Mpesa Balance" fld="5"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32C71A-5082-4F4F-B1DB-37C53BE01659}"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K3:L23" firstHeaderRow="1" firstDataRow="1" firstDataCol="1"/>
  <pivotFields count="9">
    <pivotField showAll="0"/>
    <pivotField numFmtId="22" showAll="0"/>
    <pivotField showAll="0"/>
    <pivotField dataField="1" showAll="0"/>
    <pivotField showAll="0"/>
    <pivotField showAll="0"/>
    <pivotField axis="axisRow" showAll="0">
      <items count="4">
        <item x="2"/>
        <item x="1"/>
        <item x="0"/>
        <item t="default"/>
      </items>
    </pivotField>
    <pivotField axis="axisRow" showAll="0">
      <items count="8">
        <item x="2"/>
        <item x="1"/>
        <item x="0"/>
        <item x="6"/>
        <item x="5"/>
        <item x="4"/>
        <item x="3"/>
        <item t="default"/>
      </items>
    </pivotField>
    <pivotField showAll="0"/>
  </pivotFields>
  <rowFields count="2">
    <field x="6"/>
    <field x="7"/>
  </rowFields>
  <rowItems count="20">
    <i>
      <x/>
    </i>
    <i r="1">
      <x/>
    </i>
    <i r="1">
      <x v="1"/>
    </i>
    <i r="1">
      <x v="2"/>
    </i>
    <i r="1">
      <x v="3"/>
    </i>
    <i r="1">
      <x v="4"/>
    </i>
    <i r="1">
      <x v="5"/>
    </i>
    <i r="1">
      <x v="6"/>
    </i>
    <i>
      <x v="1"/>
    </i>
    <i r="1">
      <x/>
    </i>
    <i r="1">
      <x v="1"/>
    </i>
    <i r="1">
      <x v="2"/>
    </i>
    <i r="1">
      <x v="3"/>
    </i>
    <i r="1">
      <x v="4"/>
    </i>
    <i r="1">
      <x v="5"/>
    </i>
    <i r="1">
      <x v="6"/>
    </i>
    <i>
      <x v="2"/>
    </i>
    <i r="1">
      <x v="1"/>
    </i>
    <i r="1">
      <x v="2"/>
    </i>
    <i t="grand">
      <x/>
    </i>
  </rowItems>
  <colItems count="1">
    <i/>
  </colItems>
  <dataFields count="1">
    <dataField name="Sum of Amount Received to Mpesa" fld="3"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8" xr16:uid="{5DF2D2E7-E45E-45A4-B3FC-009F8D23BC01}" autoFormatId="16" applyNumberFormats="0" applyBorderFormats="0" applyFontFormats="0" applyPatternFormats="0" applyAlignmentFormats="0" applyWidthHeightFormats="0">
  <queryTableRefresh nextId="10">
    <queryTableFields count="9">
      <queryTableField id="1" name="Transaction Date" tableColumnId="1"/>
      <queryTableField id="2" name="Time" tableColumnId="2"/>
      <queryTableField id="3" name="Month" tableColumnId="3"/>
      <queryTableField id="4" name="Weekday" tableColumnId="4"/>
      <queryTableField id="5" name="Transaction Category" tableColumnId="5"/>
      <queryTableField id="6" name="Counterparty" tableColumnId="6"/>
      <queryTableField id="7" name="Amount Received" tableColumnId="7"/>
      <queryTableField id="8" name="Amount Sent" tableColumnId="8"/>
      <queryTableField id="9" name="Balanc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3DC87623-D1FF-47A5-B93E-E0A9A88FA2B5}" autoFormatId="16" applyNumberFormats="0" applyBorderFormats="0" applyFontFormats="0" applyPatternFormats="0" applyAlignmentFormats="0" applyWidthHeightFormats="0">
  <queryTableRefresh nextId="12" unboundColumnsRight="2">
    <queryTableFields count="8">
      <queryTableField id="1" name="Receipt No" tableColumnId="1"/>
      <queryTableField id="2" name="Transaction Completion Time" tableColumnId="2"/>
      <queryTableField id="3" name="Details" tableColumnId="3"/>
      <queryTableField id="4" name="Amount Received to Mpesa" tableColumnId="4"/>
      <queryTableField id="5" name="Amount Sent to Others" tableColumnId="5"/>
      <queryTableField id="6" name="Mpesa Balance" tableColumnId="6"/>
      <queryTableField id="10" dataBound="0" tableColumnId="10"/>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17C628B-565B-4B28-AEFA-DE4C64494B27}" sourceName="Month">
  <pivotTables>
    <pivotTable tabId="3" name="PivotTable6"/>
    <pivotTable tabId="3" name="PivotTable1"/>
    <pivotTable tabId="3" name="PivotTable2"/>
    <pivotTable tabId="3" name="PivotTable3"/>
    <pivotTable tabId="3" name="PivotTable5"/>
  </pivotTables>
  <data>
    <tabular pivotCacheId="1483672873">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CA234AB9-CD27-4E21-AFB9-0127D0D2EE1C}" sourceName="Weekday">
  <pivotTables>
    <pivotTable tabId="3" name="PivotTable2"/>
  </pivotTables>
  <data>
    <tabular pivotCacheId="1483672873">
      <items count="7">
        <i x="1" s="1"/>
        <i x="0" s="1"/>
        <i x="6" s="1"/>
        <i x="5" s="1"/>
        <i x="4" s="1"/>
        <i x="3"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FF264605-F136-4D09-886E-775D94E96FC1}" cache="Slicer_Month" caption="Month" rowHeight="241300"/>
  <slicer name="Weekday" xr10:uid="{731442FB-858C-4C76-9790-FDD51F582519}" cache="Slicer_Weekday" caption="Weekday"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7359A7-10AA-436F-86D6-646520659D62}" name="Table003__Page_1_935__2_1_1" displayName="Table003__Page_1_935__2_1_1" ref="A1:I260" tableType="queryTable" totalsRowShown="0">
  <autoFilter ref="A1:I260" xr:uid="{937359A7-10AA-436F-86D6-646520659D62}"/>
  <tableColumns count="9">
    <tableColumn id="1" xr3:uid="{CFF57B0D-4ECD-474E-9049-97327ADFB9B5}" uniqueName="1" name="Transaction Date" queryTableFieldId="1" dataDxfId="2"/>
    <tableColumn id="2" xr3:uid="{E3AD1ABF-9883-4DDD-B533-0A6B1BF4200B}" uniqueName="2" name="Time" queryTableFieldId="2" dataDxfId="0"/>
    <tableColumn id="3" xr3:uid="{F8EB38EA-6A01-4058-BF8C-18DDBD2400E8}" uniqueName="3" name="Month" queryTableFieldId="3" dataDxfId="1"/>
    <tableColumn id="4" xr3:uid="{474A44CC-3696-405E-A616-8402BD8C9B41}" uniqueName="4" name="Weekday" queryTableFieldId="4" dataDxfId="5"/>
    <tableColumn id="5" xr3:uid="{369A6579-DFB0-43BF-BD7B-3A39C6413995}" uniqueName="5" name="Transaction Category" queryTableFieldId="5" dataDxfId="4"/>
    <tableColumn id="6" xr3:uid="{60FF8DA2-2924-4EBA-83BD-26616FACA66D}" uniqueName="6" name="Counterparty" queryTableFieldId="6" dataDxfId="3"/>
    <tableColumn id="7" xr3:uid="{BA237E3B-A876-438D-BBEA-83FCC7C31537}" uniqueName="7" name="Amount Received" queryTableFieldId="7"/>
    <tableColumn id="8" xr3:uid="{2F9777AA-B829-4922-AD9E-89444AD52780}" uniqueName="8" name="Amount Sent" queryTableFieldId="8"/>
    <tableColumn id="9" xr3:uid="{7634EB8B-A7AF-4E37-A69C-710EEAF09AD4}" uniqueName="9" name="Balance"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A9A961-6E78-4C7C-9BE2-FD5BAC83F7B2}" name="Table003__Page_1_93" displayName="Table003__Page_1_93" ref="A1:H260" tableType="queryTable" totalsRowShown="0">
  <autoFilter ref="A1:H260" xr:uid="{386D91FA-A838-4886-A894-6B29508F9781}"/>
  <tableColumns count="8">
    <tableColumn id="1" xr3:uid="{168A7B26-EDA1-4D66-9E5E-625AF53A5220}" uniqueName="1" name="Receipt No" queryTableFieldId="1" dataDxfId="10"/>
    <tableColumn id="2" xr3:uid="{A6F3A580-EBDB-4548-B1BB-F998E35FF1CB}" uniqueName="2" name="Transaction Completion Time" queryTableFieldId="2" dataDxfId="9"/>
    <tableColumn id="3" xr3:uid="{60971FD8-1B9C-4609-B357-07147726E6F2}" uniqueName="3" name="Details" queryTableFieldId="3" dataDxfId="8"/>
    <tableColumn id="4" xr3:uid="{B37C7458-75EE-4DC9-8C36-FAC6AC7E84E1}" uniqueName="4" name="Amount Received to Mpesa" queryTableFieldId="4"/>
    <tableColumn id="5" xr3:uid="{481045ED-EDC7-4501-A473-350C4C6693D9}" uniqueName="5" name="Amount Sent to Others" queryTableFieldId="5"/>
    <tableColumn id="6" xr3:uid="{3188EAD1-A8FF-4D7B-BF92-20974109D0FE}" uniqueName="6" name="Mpesa Balance" queryTableFieldId="6"/>
    <tableColumn id="10" xr3:uid="{E0C3039F-9C5B-4D2B-95A6-8365005035D9}" uniqueName="10" name="Amount Spent" queryTableFieldId="10" dataDxfId="7">
      <calculatedColumnFormula>SUM(E:E)</calculatedColumnFormula>
    </tableColumn>
    <tableColumn id="11" xr3:uid="{B05D5351-9D87-42EB-A8F4-09588B14A6F8}" uniqueName="11" name="Amount Received" queryTableFieldId="11" dataDxfId="6">
      <calculatedColumnFormula>SUM(D:D)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08DEC-64D2-471A-A17A-6766CB832A56}">
  <dimension ref="A1:I260"/>
  <sheetViews>
    <sheetView tabSelected="1" zoomScale="85" zoomScaleNormal="85" workbookViewId="0">
      <selection activeCell="I261" sqref="I261"/>
    </sheetView>
  </sheetViews>
  <sheetFormatPr defaultRowHeight="15" x14ac:dyDescent="0.25"/>
  <cols>
    <col min="1" max="1" width="18.140625" bestFit="1" customWidth="1"/>
    <col min="2" max="2" width="12" bestFit="1" customWidth="1"/>
    <col min="3" max="3" width="9.28515625" bestFit="1" customWidth="1"/>
    <col min="4" max="4" width="11.7109375" bestFit="1" customWidth="1"/>
    <col min="5" max="5" width="34.42578125" bestFit="1" customWidth="1"/>
    <col min="6" max="6" width="25.7109375" bestFit="1" customWidth="1"/>
    <col min="7" max="7" width="19.140625" bestFit="1" customWidth="1"/>
    <col min="8" max="8" width="14.85546875" bestFit="1" customWidth="1"/>
    <col min="9" max="9" width="10.140625" bestFit="1" customWidth="1"/>
  </cols>
  <sheetData>
    <row r="1" spans="1:9" x14ac:dyDescent="0.25">
      <c r="A1" t="s">
        <v>322</v>
      </c>
      <c r="B1" s="12" t="s">
        <v>325</v>
      </c>
      <c r="C1" t="s">
        <v>297</v>
      </c>
      <c r="D1" t="s">
        <v>298</v>
      </c>
      <c r="E1" t="s">
        <v>323</v>
      </c>
      <c r="F1" t="s">
        <v>380</v>
      </c>
      <c r="G1" t="s">
        <v>319</v>
      </c>
      <c r="H1" t="s">
        <v>324</v>
      </c>
      <c r="I1" t="s">
        <v>326</v>
      </c>
    </row>
    <row r="2" spans="1:9" x14ac:dyDescent="0.25">
      <c r="A2" s="11" t="s">
        <v>328</v>
      </c>
      <c r="B2" s="12">
        <v>0.48609953703703701</v>
      </c>
      <c r="C2" s="11" t="s">
        <v>302</v>
      </c>
      <c r="D2" s="11" t="s">
        <v>307</v>
      </c>
      <c r="E2" s="11" t="s">
        <v>381</v>
      </c>
      <c r="F2" s="11" t="s">
        <v>390</v>
      </c>
      <c r="G2">
        <v>0</v>
      </c>
      <c r="H2">
        <v>10</v>
      </c>
      <c r="I2">
        <v>28440</v>
      </c>
    </row>
    <row r="3" spans="1:9" x14ac:dyDescent="0.25">
      <c r="A3" s="11" t="s">
        <v>328</v>
      </c>
      <c r="B3" s="12">
        <v>0.44439814814814815</v>
      </c>
      <c r="C3" s="11" t="s">
        <v>302</v>
      </c>
      <c r="D3" s="11" t="s">
        <v>307</v>
      </c>
      <c r="E3" s="11" t="s">
        <v>9</v>
      </c>
      <c r="F3" s="11" t="s">
        <v>382</v>
      </c>
      <c r="G3">
        <v>0</v>
      </c>
      <c r="H3">
        <v>2</v>
      </c>
      <c r="I3">
        <v>28450</v>
      </c>
    </row>
    <row r="4" spans="1:9" x14ac:dyDescent="0.25">
      <c r="A4" s="11" t="s">
        <v>328</v>
      </c>
      <c r="B4" s="12">
        <v>0.44439814814814815</v>
      </c>
      <c r="C4" s="11" t="s">
        <v>302</v>
      </c>
      <c r="D4" s="11" t="s">
        <v>307</v>
      </c>
      <c r="E4" s="11" t="s">
        <v>389</v>
      </c>
      <c r="F4" s="11" t="s">
        <v>383</v>
      </c>
      <c r="G4">
        <v>0</v>
      </c>
      <c r="H4">
        <v>11</v>
      </c>
      <c r="I4">
        <v>28452</v>
      </c>
    </row>
    <row r="5" spans="1:9" x14ac:dyDescent="0.25">
      <c r="A5" s="11" t="s">
        <v>329</v>
      </c>
      <c r="B5" s="12">
        <v>0.68353009259259256</v>
      </c>
      <c r="C5" s="11" t="s">
        <v>302</v>
      </c>
      <c r="D5" s="11" t="s">
        <v>306</v>
      </c>
      <c r="E5" s="11" t="s">
        <v>384</v>
      </c>
      <c r="F5" s="11" t="s">
        <v>391</v>
      </c>
      <c r="G5">
        <v>2000</v>
      </c>
      <c r="H5">
        <v>0</v>
      </c>
      <c r="I5">
        <v>28463</v>
      </c>
    </row>
    <row r="6" spans="1:9" x14ac:dyDescent="0.25">
      <c r="A6" s="11" t="s">
        <v>329</v>
      </c>
      <c r="B6" s="12">
        <v>0.60908564814814814</v>
      </c>
      <c r="C6" s="11" t="s">
        <v>302</v>
      </c>
      <c r="D6" s="11" t="s">
        <v>306</v>
      </c>
      <c r="E6" s="11" t="s">
        <v>381</v>
      </c>
      <c r="F6" s="11" t="s">
        <v>415</v>
      </c>
      <c r="G6">
        <v>0</v>
      </c>
      <c r="H6">
        <v>50</v>
      </c>
      <c r="I6">
        <v>26463</v>
      </c>
    </row>
    <row r="7" spans="1:9" x14ac:dyDescent="0.25">
      <c r="A7" s="11" t="s">
        <v>329</v>
      </c>
      <c r="B7" s="12">
        <v>0.60494212962962968</v>
      </c>
      <c r="C7" s="11" t="s">
        <v>302</v>
      </c>
      <c r="D7" s="11" t="s">
        <v>306</v>
      </c>
      <c r="E7" s="11" t="s">
        <v>388</v>
      </c>
      <c r="F7" s="11" t="s">
        <v>409</v>
      </c>
      <c r="G7">
        <v>0</v>
      </c>
      <c r="H7">
        <v>840</v>
      </c>
      <c r="I7">
        <v>26513</v>
      </c>
    </row>
    <row r="8" spans="1:9" x14ac:dyDescent="0.25">
      <c r="A8" s="11" t="s">
        <v>329</v>
      </c>
      <c r="B8" s="12">
        <v>0.59798611111111111</v>
      </c>
      <c r="C8" s="11" t="s">
        <v>302</v>
      </c>
      <c r="D8" s="11" t="s">
        <v>306</v>
      </c>
      <c r="E8" s="11" t="s">
        <v>381</v>
      </c>
      <c r="F8" s="11" t="s">
        <v>385</v>
      </c>
      <c r="G8">
        <v>0</v>
      </c>
      <c r="H8">
        <v>40</v>
      </c>
      <c r="I8">
        <v>27353</v>
      </c>
    </row>
    <row r="9" spans="1:9" x14ac:dyDescent="0.25">
      <c r="A9" s="11" t="s">
        <v>329</v>
      </c>
      <c r="B9" s="12">
        <v>0.59761574074074075</v>
      </c>
      <c r="C9" s="11" t="s">
        <v>302</v>
      </c>
      <c r="D9" s="11" t="s">
        <v>306</v>
      </c>
      <c r="E9" s="11" t="s">
        <v>381</v>
      </c>
      <c r="F9" s="11" t="s">
        <v>385</v>
      </c>
      <c r="G9">
        <v>0</v>
      </c>
      <c r="H9">
        <v>25</v>
      </c>
      <c r="I9">
        <v>27393</v>
      </c>
    </row>
    <row r="10" spans="1:9" x14ac:dyDescent="0.25">
      <c r="A10" s="11" t="s">
        <v>329</v>
      </c>
      <c r="B10" s="12">
        <v>0.59675925925925921</v>
      </c>
      <c r="C10" s="11" t="s">
        <v>302</v>
      </c>
      <c r="D10" s="11" t="s">
        <v>306</v>
      </c>
      <c r="E10" s="11" t="s">
        <v>21</v>
      </c>
      <c r="F10" s="11" t="s">
        <v>382</v>
      </c>
      <c r="G10">
        <v>0</v>
      </c>
      <c r="H10">
        <v>7</v>
      </c>
      <c r="I10">
        <v>27418</v>
      </c>
    </row>
    <row r="11" spans="1:9" x14ac:dyDescent="0.25">
      <c r="A11" s="11" t="s">
        <v>329</v>
      </c>
      <c r="B11" s="12">
        <v>0.59675925925925921</v>
      </c>
      <c r="C11" s="11" t="s">
        <v>302</v>
      </c>
      <c r="D11" s="11" t="s">
        <v>306</v>
      </c>
      <c r="E11" s="11" t="s">
        <v>381</v>
      </c>
      <c r="F11" s="11" t="s">
        <v>415</v>
      </c>
      <c r="G11">
        <v>0</v>
      </c>
      <c r="H11">
        <v>125</v>
      </c>
      <c r="I11">
        <v>27425</v>
      </c>
    </row>
    <row r="12" spans="1:9" x14ac:dyDescent="0.25">
      <c r="A12" s="11" t="s">
        <v>329</v>
      </c>
      <c r="B12" s="12">
        <v>0.56201388888888892</v>
      </c>
      <c r="C12" s="11" t="s">
        <v>302</v>
      </c>
      <c r="D12" s="11" t="s">
        <v>306</v>
      </c>
      <c r="E12" s="11" t="s">
        <v>21</v>
      </c>
      <c r="F12" s="11" t="s">
        <v>382</v>
      </c>
      <c r="G12">
        <v>0</v>
      </c>
      <c r="H12">
        <v>53</v>
      </c>
      <c r="I12">
        <v>27550</v>
      </c>
    </row>
    <row r="13" spans="1:9" x14ac:dyDescent="0.25">
      <c r="A13" s="11" t="s">
        <v>329</v>
      </c>
      <c r="B13" s="12">
        <v>0.56201388888888892</v>
      </c>
      <c r="C13" s="11" t="s">
        <v>302</v>
      </c>
      <c r="D13" s="11" t="s">
        <v>306</v>
      </c>
      <c r="E13" s="11" t="s">
        <v>387</v>
      </c>
      <c r="F13" s="11" t="s">
        <v>406</v>
      </c>
      <c r="G13">
        <v>0</v>
      </c>
      <c r="H13">
        <v>3000</v>
      </c>
      <c r="I13">
        <v>27603</v>
      </c>
    </row>
    <row r="14" spans="1:9" x14ac:dyDescent="0.25">
      <c r="A14" s="11" t="s">
        <v>329</v>
      </c>
      <c r="B14" s="12">
        <v>0.54587962962962966</v>
      </c>
      <c r="C14" s="11" t="s">
        <v>302</v>
      </c>
      <c r="D14" s="11" t="s">
        <v>306</v>
      </c>
      <c r="E14" s="11" t="s">
        <v>384</v>
      </c>
      <c r="F14" s="11" t="s">
        <v>391</v>
      </c>
      <c r="G14">
        <v>30600</v>
      </c>
      <c r="H14">
        <v>0</v>
      </c>
      <c r="I14">
        <v>30603</v>
      </c>
    </row>
    <row r="15" spans="1:9" x14ac:dyDescent="0.25">
      <c r="A15" s="11" t="s">
        <v>330</v>
      </c>
      <c r="B15" s="12">
        <v>0.85048611111111116</v>
      </c>
      <c r="C15" s="11" t="s">
        <v>301</v>
      </c>
      <c r="D15" s="11" t="s">
        <v>305</v>
      </c>
      <c r="E15" s="11" t="s">
        <v>389</v>
      </c>
      <c r="F15" s="11" t="s">
        <v>392</v>
      </c>
      <c r="G15">
        <v>0</v>
      </c>
      <c r="H15">
        <v>30</v>
      </c>
      <c r="I15">
        <v>3</v>
      </c>
    </row>
    <row r="16" spans="1:9" x14ac:dyDescent="0.25">
      <c r="A16" s="11" t="s">
        <v>331</v>
      </c>
      <c r="B16" s="12">
        <v>0.81453703703703706</v>
      </c>
      <c r="C16" s="11" t="s">
        <v>301</v>
      </c>
      <c r="D16" s="11" t="s">
        <v>311</v>
      </c>
      <c r="E16" s="11" t="s">
        <v>389</v>
      </c>
      <c r="F16" s="11" t="s">
        <v>392</v>
      </c>
      <c r="G16">
        <v>0</v>
      </c>
      <c r="H16">
        <v>30</v>
      </c>
      <c r="I16">
        <v>33</v>
      </c>
    </row>
    <row r="17" spans="1:9" x14ac:dyDescent="0.25">
      <c r="A17" s="11" t="s">
        <v>332</v>
      </c>
      <c r="B17" s="12">
        <v>0.80480324074074072</v>
      </c>
      <c r="C17" s="11" t="s">
        <v>301</v>
      </c>
      <c r="D17" s="11" t="s">
        <v>310</v>
      </c>
      <c r="E17" s="11" t="s">
        <v>389</v>
      </c>
      <c r="F17" s="11" t="s">
        <v>392</v>
      </c>
      <c r="G17">
        <v>0</v>
      </c>
      <c r="H17">
        <v>30</v>
      </c>
      <c r="I17">
        <v>63</v>
      </c>
    </row>
    <row r="18" spans="1:9" x14ac:dyDescent="0.25">
      <c r="A18" s="11" t="s">
        <v>332</v>
      </c>
      <c r="B18" s="12">
        <v>0.44842592592592595</v>
      </c>
      <c r="C18" s="11" t="s">
        <v>301</v>
      </c>
      <c r="D18" s="11" t="s">
        <v>310</v>
      </c>
      <c r="E18" s="11" t="s">
        <v>387</v>
      </c>
      <c r="F18" s="11" t="s">
        <v>410</v>
      </c>
      <c r="G18">
        <v>0</v>
      </c>
      <c r="H18">
        <v>100</v>
      </c>
      <c r="I18">
        <v>93</v>
      </c>
    </row>
    <row r="19" spans="1:9" x14ac:dyDescent="0.25">
      <c r="A19" s="11" t="s">
        <v>332</v>
      </c>
      <c r="B19" s="12">
        <v>0.44598379629629631</v>
      </c>
      <c r="C19" s="11" t="s">
        <v>301</v>
      </c>
      <c r="D19" s="11" t="s">
        <v>310</v>
      </c>
      <c r="E19" s="11" t="s">
        <v>387</v>
      </c>
      <c r="F19" s="11" t="s">
        <v>410</v>
      </c>
      <c r="G19">
        <v>0</v>
      </c>
      <c r="H19">
        <v>100</v>
      </c>
      <c r="I19">
        <v>193</v>
      </c>
    </row>
    <row r="20" spans="1:9" x14ac:dyDescent="0.25">
      <c r="A20" s="11" t="s">
        <v>333</v>
      </c>
      <c r="B20" s="12">
        <v>0.79510416666666661</v>
      </c>
      <c r="C20" s="11" t="s">
        <v>301</v>
      </c>
      <c r="D20" s="11" t="s">
        <v>309</v>
      </c>
      <c r="E20" s="11" t="s">
        <v>389</v>
      </c>
      <c r="F20" s="11" t="s">
        <v>392</v>
      </c>
      <c r="G20">
        <v>0</v>
      </c>
      <c r="H20">
        <v>30</v>
      </c>
      <c r="I20">
        <v>293</v>
      </c>
    </row>
    <row r="21" spans="1:9" x14ac:dyDescent="0.25">
      <c r="A21" s="11" t="s">
        <v>333</v>
      </c>
      <c r="B21" s="12">
        <v>0.58861111111111108</v>
      </c>
      <c r="C21" s="11" t="s">
        <v>301</v>
      </c>
      <c r="D21" s="11" t="s">
        <v>309</v>
      </c>
      <c r="E21" s="11" t="s">
        <v>381</v>
      </c>
      <c r="F21" s="11" t="s">
        <v>415</v>
      </c>
      <c r="G21">
        <v>0</v>
      </c>
      <c r="H21">
        <v>35</v>
      </c>
      <c r="I21">
        <v>323</v>
      </c>
    </row>
    <row r="22" spans="1:9" x14ac:dyDescent="0.25">
      <c r="A22" s="11" t="s">
        <v>333</v>
      </c>
      <c r="B22" s="12">
        <v>0.58721064814814816</v>
      </c>
      <c r="C22" s="11" t="s">
        <v>301</v>
      </c>
      <c r="D22" s="11" t="s">
        <v>309</v>
      </c>
      <c r="E22" s="11" t="s">
        <v>388</v>
      </c>
      <c r="F22" s="11" t="s">
        <v>409</v>
      </c>
      <c r="G22">
        <v>0</v>
      </c>
      <c r="H22">
        <v>100</v>
      </c>
      <c r="I22">
        <v>358</v>
      </c>
    </row>
    <row r="23" spans="1:9" x14ac:dyDescent="0.25">
      <c r="A23" s="11" t="s">
        <v>333</v>
      </c>
      <c r="B23" s="12">
        <v>0.58454861111111112</v>
      </c>
      <c r="C23" s="11" t="s">
        <v>301</v>
      </c>
      <c r="D23" s="11" t="s">
        <v>309</v>
      </c>
      <c r="E23" s="11" t="s">
        <v>388</v>
      </c>
      <c r="F23" s="11" t="s">
        <v>407</v>
      </c>
      <c r="G23">
        <v>0</v>
      </c>
      <c r="H23">
        <v>60</v>
      </c>
      <c r="I23">
        <v>458</v>
      </c>
    </row>
    <row r="24" spans="1:9" x14ac:dyDescent="0.25">
      <c r="A24" s="11" t="s">
        <v>333</v>
      </c>
      <c r="B24" s="12">
        <v>0.39967592592592593</v>
      </c>
      <c r="C24" s="11" t="s">
        <v>301</v>
      </c>
      <c r="D24" s="11" t="s">
        <v>309</v>
      </c>
      <c r="E24" s="11" t="s">
        <v>381</v>
      </c>
      <c r="F24" s="11" t="s">
        <v>385</v>
      </c>
      <c r="G24">
        <v>0</v>
      </c>
      <c r="H24">
        <v>25</v>
      </c>
      <c r="I24">
        <v>518</v>
      </c>
    </row>
    <row r="25" spans="1:9" x14ac:dyDescent="0.25">
      <c r="A25" s="11" t="s">
        <v>334</v>
      </c>
      <c r="B25" s="12">
        <v>0.87054398148148149</v>
      </c>
      <c r="C25" s="11" t="s">
        <v>301</v>
      </c>
      <c r="D25" s="11" t="s">
        <v>308</v>
      </c>
      <c r="E25" s="11" t="s">
        <v>388</v>
      </c>
      <c r="F25" s="11" t="s">
        <v>409</v>
      </c>
      <c r="G25">
        <v>0</v>
      </c>
      <c r="H25">
        <v>150</v>
      </c>
      <c r="I25">
        <v>543</v>
      </c>
    </row>
    <row r="26" spans="1:9" x14ac:dyDescent="0.25">
      <c r="A26" s="11" t="s">
        <v>334</v>
      </c>
      <c r="B26" s="12">
        <v>0.86851851851851847</v>
      </c>
      <c r="C26" s="11" t="s">
        <v>301</v>
      </c>
      <c r="D26" s="11" t="s">
        <v>308</v>
      </c>
      <c r="E26" s="11" t="s">
        <v>21</v>
      </c>
      <c r="F26" s="11" t="s">
        <v>382</v>
      </c>
      <c r="G26">
        <v>0</v>
      </c>
      <c r="H26">
        <v>7</v>
      </c>
      <c r="I26">
        <v>693</v>
      </c>
    </row>
    <row r="27" spans="1:9" x14ac:dyDescent="0.25">
      <c r="A27" s="11" t="s">
        <v>334</v>
      </c>
      <c r="B27" s="12">
        <v>0.86851851851851847</v>
      </c>
      <c r="C27" s="11" t="s">
        <v>301</v>
      </c>
      <c r="D27" s="11" t="s">
        <v>308</v>
      </c>
      <c r="E27" s="11" t="s">
        <v>381</v>
      </c>
      <c r="F27" s="11" t="s">
        <v>415</v>
      </c>
      <c r="G27">
        <v>0</v>
      </c>
      <c r="H27">
        <v>145</v>
      </c>
      <c r="I27">
        <v>700</v>
      </c>
    </row>
    <row r="28" spans="1:9" x14ac:dyDescent="0.25">
      <c r="A28" s="11" t="s">
        <v>334</v>
      </c>
      <c r="B28" s="12">
        <v>0.8547569444444445</v>
      </c>
      <c r="C28" s="11" t="s">
        <v>301</v>
      </c>
      <c r="D28" s="11" t="s">
        <v>308</v>
      </c>
      <c r="E28" s="11" t="s">
        <v>388</v>
      </c>
      <c r="F28" s="11" t="s">
        <v>409</v>
      </c>
      <c r="G28">
        <v>0</v>
      </c>
      <c r="H28">
        <v>3155</v>
      </c>
      <c r="I28">
        <v>845</v>
      </c>
    </row>
    <row r="29" spans="1:9" x14ac:dyDescent="0.25">
      <c r="A29" s="11" t="s">
        <v>334</v>
      </c>
      <c r="B29" s="12">
        <v>0.61979166666666663</v>
      </c>
      <c r="C29" s="11" t="s">
        <v>301</v>
      </c>
      <c r="D29" s="11" t="s">
        <v>308</v>
      </c>
      <c r="E29" s="11" t="s">
        <v>389</v>
      </c>
      <c r="F29" s="11" t="s">
        <v>392</v>
      </c>
      <c r="G29">
        <v>0</v>
      </c>
      <c r="H29">
        <v>30</v>
      </c>
      <c r="I29">
        <v>4000</v>
      </c>
    </row>
    <row r="30" spans="1:9" x14ac:dyDescent="0.25">
      <c r="A30" s="11" t="s">
        <v>334</v>
      </c>
      <c r="B30" s="12">
        <v>0.61804398148148143</v>
      </c>
      <c r="C30" s="11" t="s">
        <v>301</v>
      </c>
      <c r="D30" s="11" t="s">
        <v>308</v>
      </c>
      <c r="E30" s="11" t="s">
        <v>384</v>
      </c>
      <c r="F30" s="11" t="s">
        <v>410</v>
      </c>
      <c r="G30">
        <v>1</v>
      </c>
      <c r="H30">
        <v>0</v>
      </c>
      <c r="I30">
        <v>4030</v>
      </c>
    </row>
    <row r="31" spans="1:9" x14ac:dyDescent="0.25">
      <c r="A31" s="11" t="s">
        <v>335</v>
      </c>
      <c r="B31" s="12">
        <v>0.80784722222222227</v>
      </c>
      <c r="C31" s="11" t="s">
        <v>301</v>
      </c>
      <c r="D31" s="11" t="s">
        <v>307</v>
      </c>
      <c r="E31" s="11" t="s">
        <v>388</v>
      </c>
      <c r="F31" s="11" t="s">
        <v>404</v>
      </c>
      <c r="G31">
        <v>0</v>
      </c>
      <c r="H31">
        <v>40</v>
      </c>
      <c r="I31">
        <v>4029</v>
      </c>
    </row>
    <row r="32" spans="1:9" x14ac:dyDescent="0.25">
      <c r="A32" s="11" t="s">
        <v>335</v>
      </c>
      <c r="B32" s="12">
        <v>0.56635416666666671</v>
      </c>
      <c r="C32" s="11" t="s">
        <v>301</v>
      </c>
      <c r="D32" s="11" t="s">
        <v>307</v>
      </c>
      <c r="E32" s="11" t="s">
        <v>387</v>
      </c>
      <c r="F32" s="11" t="s">
        <v>408</v>
      </c>
      <c r="G32">
        <v>0</v>
      </c>
      <c r="H32">
        <v>70</v>
      </c>
      <c r="I32">
        <v>4069</v>
      </c>
    </row>
    <row r="33" spans="1:9" x14ac:dyDescent="0.25">
      <c r="A33" s="11" t="s">
        <v>335</v>
      </c>
      <c r="B33" s="12">
        <v>0.44087962962962962</v>
      </c>
      <c r="C33" s="11" t="s">
        <v>301</v>
      </c>
      <c r="D33" s="11" t="s">
        <v>307</v>
      </c>
      <c r="E33" s="11" t="s">
        <v>381</v>
      </c>
      <c r="F33" s="11" t="s">
        <v>385</v>
      </c>
      <c r="G33">
        <v>0</v>
      </c>
      <c r="H33">
        <v>40</v>
      </c>
      <c r="I33">
        <v>4139</v>
      </c>
    </row>
    <row r="34" spans="1:9" x14ac:dyDescent="0.25">
      <c r="A34" s="11" t="s">
        <v>335</v>
      </c>
      <c r="B34" s="12">
        <v>0.3722685185185185</v>
      </c>
      <c r="C34" s="11" t="s">
        <v>301</v>
      </c>
      <c r="D34" s="11" t="s">
        <v>307</v>
      </c>
      <c r="E34" s="11" t="s">
        <v>389</v>
      </c>
      <c r="F34" s="11" t="s">
        <v>392</v>
      </c>
      <c r="G34">
        <v>0</v>
      </c>
      <c r="H34">
        <v>30</v>
      </c>
      <c r="I34">
        <v>4179</v>
      </c>
    </row>
    <row r="35" spans="1:9" x14ac:dyDescent="0.25">
      <c r="A35" s="11" t="s">
        <v>336</v>
      </c>
      <c r="B35" s="12">
        <v>0.83207175925925925</v>
      </c>
      <c r="C35" s="11" t="s">
        <v>301</v>
      </c>
      <c r="D35" s="11" t="s">
        <v>306</v>
      </c>
      <c r="E35" s="11" t="s">
        <v>384</v>
      </c>
      <c r="F35" s="11" t="s">
        <v>393</v>
      </c>
      <c r="G35">
        <v>200</v>
      </c>
      <c r="H35">
        <v>0</v>
      </c>
      <c r="I35">
        <v>4209</v>
      </c>
    </row>
    <row r="36" spans="1:9" x14ac:dyDescent="0.25">
      <c r="A36" s="11" t="s">
        <v>336</v>
      </c>
      <c r="B36" s="12">
        <v>0.80039351851851848</v>
      </c>
      <c r="C36" s="11" t="s">
        <v>301</v>
      </c>
      <c r="D36" s="11" t="s">
        <v>306</v>
      </c>
      <c r="E36" s="11" t="s">
        <v>381</v>
      </c>
      <c r="F36" s="11" t="s">
        <v>385</v>
      </c>
      <c r="G36">
        <v>0</v>
      </c>
      <c r="H36">
        <v>35</v>
      </c>
      <c r="I36">
        <v>4009</v>
      </c>
    </row>
    <row r="37" spans="1:9" x14ac:dyDescent="0.25">
      <c r="A37" s="11" t="s">
        <v>336</v>
      </c>
      <c r="B37" s="12">
        <v>0.39420138888888889</v>
      </c>
      <c r="C37" s="11" t="s">
        <v>301</v>
      </c>
      <c r="D37" s="11" t="s">
        <v>306</v>
      </c>
      <c r="E37" s="11" t="s">
        <v>381</v>
      </c>
      <c r="F37" s="11" t="s">
        <v>385</v>
      </c>
      <c r="G37">
        <v>0</v>
      </c>
      <c r="H37">
        <v>25</v>
      </c>
      <c r="I37">
        <v>4044</v>
      </c>
    </row>
    <row r="38" spans="1:9" x14ac:dyDescent="0.25">
      <c r="A38" s="11" t="s">
        <v>337</v>
      </c>
      <c r="B38" s="12">
        <v>0.98737268518518517</v>
      </c>
      <c r="C38" s="11" t="s">
        <v>301</v>
      </c>
      <c r="D38" s="11" t="s">
        <v>305</v>
      </c>
      <c r="E38" s="11" t="s">
        <v>389</v>
      </c>
      <c r="F38" s="11" t="s">
        <v>392</v>
      </c>
      <c r="G38">
        <v>0</v>
      </c>
      <c r="H38">
        <v>30</v>
      </c>
      <c r="I38">
        <v>4069</v>
      </c>
    </row>
    <row r="39" spans="1:9" x14ac:dyDescent="0.25">
      <c r="A39" s="11" t="s">
        <v>337</v>
      </c>
      <c r="B39" s="12">
        <v>0.90608796296296301</v>
      </c>
      <c r="C39" s="11" t="s">
        <v>301</v>
      </c>
      <c r="D39" s="11" t="s">
        <v>305</v>
      </c>
      <c r="E39" s="11" t="s">
        <v>384</v>
      </c>
      <c r="F39" s="11" t="s">
        <v>410</v>
      </c>
      <c r="G39">
        <v>70</v>
      </c>
      <c r="H39">
        <v>0</v>
      </c>
      <c r="I39">
        <v>4099</v>
      </c>
    </row>
    <row r="40" spans="1:9" x14ac:dyDescent="0.25">
      <c r="A40" s="11" t="s">
        <v>337</v>
      </c>
      <c r="B40" s="12">
        <v>0.38797453703703705</v>
      </c>
      <c r="C40" s="11" t="s">
        <v>301</v>
      </c>
      <c r="D40" s="11" t="s">
        <v>305</v>
      </c>
      <c r="E40" s="11" t="s">
        <v>381</v>
      </c>
      <c r="F40" s="11" t="s">
        <v>385</v>
      </c>
      <c r="G40">
        <v>0</v>
      </c>
      <c r="H40">
        <v>25</v>
      </c>
      <c r="I40">
        <v>4029</v>
      </c>
    </row>
    <row r="41" spans="1:9" x14ac:dyDescent="0.25">
      <c r="A41" s="11" t="s">
        <v>338</v>
      </c>
      <c r="B41" s="12">
        <v>0.98162037037037042</v>
      </c>
      <c r="C41" s="11" t="s">
        <v>301</v>
      </c>
      <c r="D41" s="11" t="s">
        <v>311</v>
      </c>
      <c r="E41" s="11" t="s">
        <v>389</v>
      </c>
      <c r="F41" s="11" t="s">
        <v>392</v>
      </c>
      <c r="G41">
        <v>0</v>
      </c>
      <c r="H41">
        <v>30</v>
      </c>
      <c r="I41">
        <v>4054</v>
      </c>
    </row>
    <row r="42" spans="1:9" x14ac:dyDescent="0.25">
      <c r="A42" s="11" t="s">
        <v>338</v>
      </c>
      <c r="B42" s="12">
        <v>0.80531249999999999</v>
      </c>
      <c r="C42" s="11" t="s">
        <v>301</v>
      </c>
      <c r="D42" s="11" t="s">
        <v>311</v>
      </c>
      <c r="E42" s="11" t="s">
        <v>381</v>
      </c>
      <c r="F42" s="11" t="s">
        <v>415</v>
      </c>
      <c r="G42">
        <v>0</v>
      </c>
      <c r="H42">
        <v>50</v>
      </c>
      <c r="I42">
        <v>4084</v>
      </c>
    </row>
    <row r="43" spans="1:9" x14ac:dyDescent="0.25">
      <c r="A43" s="11" t="s">
        <v>338</v>
      </c>
      <c r="B43" s="12">
        <v>0.71876157407407404</v>
      </c>
      <c r="C43" s="11" t="s">
        <v>301</v>
      </c>
      <c r="D43" s="11" t="s">
        <v>311</v>
      </c>
      <c r="E43" s="11" t="s">
        <v>389</v>
      </c>
      <c r="F43" s="11" t="s">
        <v>392</v>
      </c>
      <c r="G43">
        <v>0</v>
      </c>
      <c r="H43">
        <v>30</v>
      </c>
      <c r="I43">
        <v>4134</v>
      </c>
    </row>
    <row r="44" spans="1:9" x14ac:dyDescent="0.25">
      <c r="A44" s="11" t="s">
        <v>338</v>
      </c>
      <c r="B44" s="12">
        <v>0.6222685185185185</v>
      </c>
      <c r="C44" s="11" t="s">
        <v>301</v>
      </c>
      <c r="D44" s="11" t="s">
        <v>311</v>
      </c>
      <c r="E44" s="11" t="s">
        <v>384</v>
      </c>
      <c r="F44" s="11" t="s">
        <v>410</v>
      </c>
      <c r="G44">
        <v>100</v>
      </c>
      <c r="H44">
        <v>0</v>
      </c>
      <c r="I44">
        <v>4164</v>
      </c>
    </row>
    <row r="45" spans="1:9" x14ac:dyDescent="0.25">
      <c r="A45" s="11" t="s">
        <v>338</v>
      </c>
      <c r="B45" s="12">
        <v>0.48554398148148148</v>
      </c>
      <c r="C45" s="11" t="s">
        <v>301</v>
      </c>
      <c r="D45" s="11" t="s">
        <v>311</v>
      </c>
      <c r="E45" s="11" t="s">
        <v>389</v>
      </c>
      <c r="F45" s="11" t="s">
        <v>392</v>
      </c>
      <c r="G45">
        <v>0</v>
      </c>
      <c r="H45">
        <v>30</v>
      </c>
      <c r="I45">
        <v>4064</v>
      </c>
    </row>
    <row r="46" spans="1:9" x14ac:dyDescent="0.25">
      <c r="A46" s="11" t="s">
        <v>338</v>
      </c>
      <c r="B46" s="12">
        <v>0.41921296296296295</v>
      </c>
      <c r="C46" s="11" t="s">
        <v>301</v>
      </c>
      <c r="D46" s="11" t="s">
        <v>311</v>
      </c>
      <c r="E46" s="11" t="s">
        <v>381</v>
      </c>
      <c r="F46" s="11" t="s">
        <v>385</v>
      </c>
      <c r="G46">
        <v>0</v>
      </c>
      <c r="H46">
        <v>25</v>
      </c>
      <c r="I46">
        <v>4094</v>
      </c>
    </row>
    <row r="47" spans="1:9" x14ac:dyDescent="0.25">
      <c r="A47" s="11" t="s">
        <v>339</v>
      </c>
      <c r="B47" s="12">
        <v>0.74818287037037035</v>
      </c>
      <c r="C47" s="11" t="s">
        <v>301</v>
      </c>
      <c r="D47" s="11" t="s">
        <v>310</v>
      </c>
      <c r="E47" s="11" t="s">
        <v>389</v>
      </c>
      <c r="F47" s="11" t="s">
        <v>392</v>
      </c>
      <c r="G47">
        <v>0</v>
      </c>
      <c r="H47">
        <v>30</v>
      </c>
      <c r="I47">
        <v>4119</v>
      </c>
    </row>
    <row r="48" spans="1:9" x14ac:dyDescent="0.25">
      <c r="A48" s="11" t="s">
        <v>339</v>
      </c>
      <c r="B48" s="12">
        <v>0.70171296296296293</v>
      </c>
      <c r="C48" s="11" t="s">
        <v>301</v>
      </c>
      <c r="D48" s="11" t="s">
        <v>310</v>
      </c>
      <c r="E48" s="11" t="s">
        <v>389</v>
      </c>
      <c r="F48" s="11" t="s">
        <v>383</v>
      </c>
      <c r="G48">
        <v>0</v>
      </c>
      <c r="H48">
        <v>11</v>
      </c>
      <c r="I48">
        <v>4149</v>
      </c>
    </row>
    <row r="49" spans="1:9" x14ac:dyDescent="0.25">
      <c r="A49" s="11" t="s">
        <v>339</v>
      </c>
      <c r="B49" s="12">
        <v>0.66082175925925923</v>
      </c>
      <c r="C49" s="11" t="s">
        <v>301</v>
      </c>
      <c r="D49" s="11" t="s">
        <v>310</v>
      </c>
      <c r="E49" s="11" t="s">
        <v>381</v>
      </c>
      <c r="F49" s="11" t="s">
        <v>415</v>
      </c>
      <c r="G49">
        <v>0</v>
      </c>
      <c r="H49">
        <v>50</v>
      </c>
      <c r="I49">
        <v>4160</v>
      </c>
    </row>
    <row r="50" spans="1:9" x14ac:dyDescent="0.25">
      <c r="A50" s="11" t="s">
        <v>339</v>
      </c>
      <c r="B50" s="12">
        <v>0.65812499999999996</v>
      </c>
      <c r="C50" s="11" t="s">
        <v>301</v>
      </c>
      <c r="D50" s="11" t="s">
        <v>310</v>
      </c>
      <c r="E50" s="11" t="s">
        <v>387</v>
      </c>
      <c r="F50" s="11" t="s">
        <v>408</v>
      </c>
      <c r="G50">
        <v>0</v>
      </c>
      <c r="H50">
        <v>40</v>
      </c>
      <c r="I50">
        <v>4210</v>
      </c>
    </row>
    <row r="51" spans="1:9" x14ac:dyDescent="0.25">
      <c r="A51" s="11" t="s">
        <v>339</v>
      </c>
      <c r="B51" s="12">
        <v>0.65716435185185185</v>
      </c>
      <c r="C51" s="11" t="s">
        <v>301</v>
      </c>
      <c r="D51" s="11" t="s">
        <v>310</v>
      </c>
      <c r="E51" s="11" t="s">
        <v>388</v>
      </c>
      <c r="F51" s="11" t="s">
        <v>405</v>
      </c>
      <c r="G51">
        <v>0</v>
      </c>
      <c r="H51">
        <v>20</v>
      </c>
      <c r="I51">
        <v>4250</v>
      </c>
    </row>
    <row r="52" spans="1:9" x14ac:dyDescent="0.25">
      <c r="A52" s="11" t="s">
        <v>339</v>
      </c>
      <c r="B52" s="12">
        <v>0.53172453703703704</v>
      </c>
      <c r="C52" s="11" t="s">
        <v>301</v>
      </c>
      <c r="D52" s="11" t="s">
        <v>310</v>
      </c>
      <c r="E52" s="11" t="s">
        <v>389</v>
      </c>
      <c r="F52" s="11" t="s">
        <v>392</v>
      </c>
      <c r="G52">
        <v>0</v>
      </c>
      <c r="H52">
        <v>30</v>
      </c>
      <c r="I52">
        <v>4270</v>
      </c>
    </row>
    <row r="53" spans="1:9" x14ac:dyDescent="0.25">
      <c r="A53" s="11" t="s">
        <v>339</v>
      </c>
      <c r="B53" s="12">
        <v>0.44829861111111113</v>
      </c>
      <c r="C53" s="11" t="s">
        <v>301</v>
      </c>
      <c r="D53" s="11" t="s">
        <v>310</v>
      </c>
      <c r="E53" s="11" t="s">
        <v>388</v>
      </c>
      <c r="F53" s="11" t="s">
        <v>409</v>
      </c>
      <c r="G53">
        <v>0</v>
      </c>
      <c r="H53">
        <v>75</v>
      </c>
      <c r="I53">
        <v>4300</v>
      </c>
    </row>
    <row r="54" spans="1:9" x14ac:dyDescent="0.25">
      <c r="A54" s="11" t="s">
        <v>339</v>
      </c>
      <c r="B54" s="12">
        <v>0.43821759259259258</v>
      </c>
      <c r="C54" s="11" t="s">
        <v>301</v>
      </c>
      <c r="D54" s="11" t="s">
        <v>310</v>
      </c>
      <c r="E54" s="11" t="s">
        <v>384</v>
      </c>
      <c r="F54" s="11" t="s">
        <v>406</v>
      </c>
      <c r="G54">
        <v>41</v>
      </c>
      <c r="H54">
        <v>0</v>
      </c>
      <c r="I54">
        <v>4375</v>
      </c>
    </row>
    <row r="55" spans="1:9" x14ac:dyDescent="0.25">
      <c r="A55" s="11" t="s">
        <v>340</v>
      </c>
      <c r="B55" s="12">
        <v>0.80902777777777779</v>
      </c>
      <c r="C55" s="11" t="s">
        <v>301</v>
      </c>
      <c r="D55" s="11" t="s">
        <v>309</v>
      </c>
      <c r="E55" s="11" t="s">
        <v>387</v>
      </c>
      <c r="F55" s="11" t="s">
        <v>394</v>
      </c>
      <c r="G55">
        <v>0</v>
      </c>
      <c r="H55">
        <v>35</v>
      </c>
      <c r="I55">
        <v>4334</v>
      </c>
    </row>
    <row r="56" spans="1:9" x14ac:dyDescent="0.25">
      <c r="A56" s="11" t="s">
        <v>340</v>
      </c>
      <c r="B56" s="12">
        <v>0.52212962962962961</v>
      </c>
      <c r="C56" s="11" t="s">
        <v>301</v>
      </c>
      <c r="D56" s="11" t="s">
        <v>309</v>
      </c>
      <c r="E56" s="11" t="s">
        <v>389</v>
      </c>
      <c r="F56" s="11" t="s">
        <v>392</v>
      </c>
      <c r="G56">
        <v>0</v>
      </c>
      <c r="H56">
        <v>30</v>
      </c>
      <c r="I56">
        <v>4369</v>
      </c>
    </row>
    <row r="57" spans="1:9" x14ac:dyDescent="0.25">
      <c r="A57" s="11" t="s">
        <v>340</v>
      </c>
      <c r="B57" s="12">
        <v>0.48957175925925928</v>
      </c>
      <c r="C57" s="11" t="s">
        <v>301</v>
      </c>
      <c r="D57" s="11" t="s">
        <v>309</v>
      </c>
      <c r="E57" s="11" t="s">
        <v>389</v>
      </c>
      <c r="F57" s="11" t="s">
        <v>395</v>
      </c>
      <c r="G57">
        <v>0</v>
      </c>
      <c r="H57">
        <v>30</v>
      </c>
      <c r="I57">
        <v>4399</v>
      </c>
    </row>
    <row r="58" spans="1:9" x14ac:dyDescent="0.25">
      <c r="A58" s="11" t="s">
        <v>341</v>
      </c>
      <c r="B58" s="12">
        <v>0.91435185185185186</v>
      </c>
      <c r="C58" s="11" t="s">
        <v>301</v>
      </c>
      <c r="D58" s="11" t="s">
        <v>308</v>
      </c>
      <c r="E58" s="11" t="s">
        <v>389</v>
      </c>
      <c r="F58" s="11" t="s">
        <v>392</v>
      </c>
      <c r="G58">
        <v>0</v>
      </c>
      <c r="H58">
        <v>30</v>
      </c>
      <c r="I58">
        <v>4429</v>
      </c>
    </row>
    <row r="59" spans="1:9" x14ac:dyDescent="0.25">
      <c r="A59" s="11" t="s">
        <v>341</v>
      </c>
      <c r="B59" s="12">
        <v>0.8053703703703704</v>
      </c>
      <c r="C59" s="11" t="s">
        <v>301</v>
      </c>
      <c r="D59" s="11" t="s">
        <v>308</v>
      </c>
      <c r="E59" s="11" t="s">
        <v>387</v>
      </c>
      <c r="F59" s="11" t="s">
        <v>396</v>
      </c>
      <c r="G59">
        <v>0</v>
      </c>
      <c r="H59">
        <v>25</v>
      </c>
      <c r="I59">
        <v>4459</v>
      </c>
    </row>
    <row r="60" spans="1:9" x14ac:dyDescent="0.25">
      <c r="A60" s="11" t="s">
        <v>341</v>
      </c>
      <c r="B60" s="12">
        <v>0.58019675925925929</v>
      </c>
      <c r="C60" s="11" t="s">
        <v>301</v>
      </c>
      <c r="D60" s="11" t="s">
        <v>308</v>
      </c>
      <c r="E60" s="11" t="s">
        <v>388</v>
      </c>
      <c r="F60" s="11" t="s">
        <v>409</v>
      </c>
      <c r="G60">
        <v>0</v>
      </c>
      <c r="H60">
        <v>15</v>
      </c>
      <c r="I60">
        <v>4484</v>
      </c>
    </row>
    <row r="61" spans="1:9" x14ac:dyDescent="0.25">
      <c r="A61" s="11" t="s">
        <v>341</v>
      </c>
      <c r="B61" s="12">
        <v>0.57855324074074077</v>
      </c>
      <c r="C61" s="11" t="s">
        <v>301</v>
      </c>
      <c r="D61" s="11" t="s">
        <v>308</v>
      </c>
      <c r="E61" s="11" t="s">
        <v>387</v>
      </c>
      <c r="F61" s="11" t="s">
        <v>408</v>
      </c>
      <c r="G61">
        <v>0</v>
      </c>
      <c r="H61">
        <v>40</v>
      </c>
      <c r="I61">
        <v>4499</v>
      </c>
    </row>
    <row r="62" spans="1:9" x14ac:dyDescent="0.25">
      <c r="A62" s="11" t="s">
        <v>341</v>
      </c>
      <c r="B62" s="12">
        <v>0.39425925925925925</v>
      </c>
      <c r="C62" s="11" t="s">
        <v>301</v>
      </c>
      <c r="D62" s="11" t="s">
        <v>308</v>
      </c>
      <c r="E62" s="11" t="s">
        <v>389</v>
      </c>
      <c r="F62" s="11" t="s">
        <v>392</v>
      </c>
      <c r="G62">
        <v>0</v>
      </c>
      <c r="H62">
        <v>30</v>
      </c>
      <c r="I62">
        <v>4539</v>
      </c>
    </row>
    <row r="63" spans="1:9" x14ac:dyDescent="0.25">
      <c r="A63" s="11" t="s">
        <v>342</v>
      </c>
      <c r="B63" s="12">
        <v>0.86214120370370373</v>
      </c>
      <c r="C63" s="11" t="s">
        <v>301</v>
      </c>
      <c r="D63" s="11" t="s">
        <v>307</v>
      </c>
      <c r="E63" s="11" t="s">
        <v>389</v>
      </c>
      <c r="F63" s="11" t="s">
        <v>392</v>
      </c>
      <c r="G63">
        <v>0</v>
      </c>
      <c r="H63">
        <v>30</v>
      </c>
      <c r="I63">
        <v>4569</v>
      </c>
    </row>
    <row r="64" spans="1:9" x14ac:dyDescent="0.25">
      <c r="A64" s="11" t="s">
        <v>342</v>
      </c>
      <c r="B64" s="12">
        <v>0.71946759259259263</v>
      </c>
      <c r="C64" s="11" t="s">
        <v>301</v>
      </c>
      <c r="D64" s="11" t="s">
        <v>307</v>
      </c>
      <c r="E64" s="11" t="s">
        <v>388</v>
      </c>
      <c r="F64" s="11" t="s">
        <v>409</v>
      </c>
      <c r="G64">
        <v>0</v>
      </c>
      <c r="H64">
        <v>135</v>
      </c>
      <c r="I64">
        <v>4599</v>
      </c>
    </row>
    <row r="65" spans="1:9" x14ac:dyDescent="0.25">
      <c r="A65" s="11" t="s">
        <v>342</v>
      </c>
      <c r="B65" s="12">
        <v>0.7189699074074074</v>
      </c>
      <c r="C65" s="11" t="s">
        <v>301</v>
      </c>
      <c r="D65" s="11" t="s">
        <v>307</v>
      </c>
      <c r="E65" s="11" t="s">
        <v>381</v>
      </c>
      <c r="F65" s="11" t="s">
        <v>415</v>
      </c>
      <c r="G65">
        <v>0</v>
      </c>
      <c r="H65">
        <v>45</v>
      </c>
      <c r="I65">
        <v>4734</v>
      </c>
    </row>
    <row r="66" spans="1:9" x14ac:dyDescent="0.25">
      <c r="A66" s="11" t="s">
        <v>342</v>
      </c>
      <c r="B66" s="12">
        <v>0.69554398148148144</v>
      </c>
      <c r="C66" s="11" t="s">
        <v>301</v>
      </c>
      <c r="D66" s="11" t="s">
        <v>307</v>
      </c>
      <c r="E66" s="11" t="s">
        <v>389</v>
      </c>
      <c r="F66" s="11" t="s">
        <v>383</v>
      </c>
      <c r="G66">
        <v>0</v>
      </c>
      <c r="H66">
        <v>17</v>
      </c>
      <c r="I66">
        <v>4779</v>
      </c>
    </row>
    <row r="67" spans="1:9" x14ac:dyDescent="0.25">
      <c r="A67" s="11" t="s">
        <v>342</v>
      </c>
      <c r="B67" s="12">
        <v>0.64667824074074076</v>
      </c>
      <c r="C67" s="11" t="s">
        <v>301</v>
      </c>
      <c r="D67" s="11" t="s">
        <v>307</v>
      </c>
      <c r="E67" s="11" t="s">
        <v>389</v>
      </c>
      <c r="F67" s="11" t="s">
        <v>392</v>
      </c>
      <c r="G67">
        <v>0</v>
      </c>
      <c r="H67">
        <v>30</v>
      </c>
      <c r="I67">
        <v>4796</v>
      </c>
    </row>
    <row r="68" spans="1:9" x14ac:dyDescent="0.25">
      <c r="A68" s="11" t="s">
        <v>342</v>
      </c>
      <c r="B68" s="12">
        <v>0.49927083333333333</v>
      </c>
      <c r="C68" s="11" t="s">
        <v>301</v>
      </c>
      <c r="D68" s="11" t="s">
        <v>307</v>
      </c>
      <c r="E68" s="11" t="s">
        <v>388</v>
      </c>
      <c r="F68" s="11" t="s">
        <v>409</v>
      </c>
      <c r="G68">
        <v>0</v>
      </c>
      <c r="H68">
        <v>25</v>
      </c>
      <c r="I68">
        <v>4826</v>
      </c>
    </row>
    <row r="69" spans="1:9" x14ac:dyDescent="0.25">
      <c r="A69" s="11" t="s">
        <v>343</v>
      </c>
      <c r="B69" s="12">
        <v>0.92710648148148145</v>
      </c>
      <c r="C69" s="11" t="s">
        <v>301</v>
      </c>
      <c r="D69" s="11" t="s">
        <v>306</v>
      </c>
      <c r="E69" s="11" t="s">
        <v>389</v>
      </c>
      <c r="F69" s="11" t="s">
        <v>383</v>
      </c>
      <c r="G69">
        <v>0</v>
      </c>
      <c r="H69">
        <v>22</v>
      </c>
      <c r="I69">
        <v>4851</v>
      </c>
    </row>
    <row r="70" spans="1:9" x14ac:dyDescent="0.25">
      <c r="A70" s="11" t="s">
        <v>343</v>
      </c>
      <c r="B70" s="12">
        <v>0.91569444444444448</v>
      </c>
      <c r="C70" s="11" t="s">
        <v>301</v>
      </c>
      <c r="D70" s="11" t="s">
        <v>306</v>
      </c>
      <c r="E70" s="11" t="s">
        <v>389</v>
      </c>
      <c r="F70" s="11" t="s">
        <v>392</v>
      </c>
      <c r="G70">
        <v>0</v>
      </c>
      <c r="H70">
        <v>30</v>
      </c>
      <c r="I70">
        <v>4873</v>
      </c>
    </row>
    <row r="71" spans="1:9" x14ac:dyDescent="0.25">
      <c r="A71" s="11" t="s">
        <v>343</v>
      </c>
      <c r="B71" s="12">
        <v>0.80612268518518515</v>
      </c>
      <c r="C71" s="11" t="s">
        <v>301</v>
      </c>
      <c r="D71" s="11" t="s">
        <v>306</v>
      </c>
      <c r="E71" s="11" t="s">
        <v>387</v>
      </c>
      <c r="F71" s="11" t="s">
        <v>396</v>
      </c>
      <c r="G71">
        <v>0</v>
      </c>
      <c r="H71">
        <v>25</v>
      </c>
      <c r="I71">
        <v>4903</v>
      </c>
    </row>
    <row r="72" spans="1:9" x14ac:dyDescent="0.25">
      <c r="A72" s="11" t="s">
        <v>343</v>
      </c>
      <c r="B72" s="12">
        <v>0.80369212962962966</v>
      </c>
      <c r="C72" s="11" t="s">
        <v>301</v>
      </c>
      <c r="D72" s="11" t="s">
        <v>306</v>
      </c>
      <c r="E72" s="11" t="s">
        <v>388</v>
      </c>
      <c r="F72" s="11" t="s">
        <v>409</v>
      </c>
      <c r="G72">
        <v>0</v>
      </c>
      <c r="H72">
        <v>160</v>
      </c>
      <c r="I72">
        <v>4928</v>
      </c>
    </row>
    <row r="73" spans="1:9" x14ac:dyDescent="0.25">
      <c r="A73" s="11" t="s">
        <v>343</v>
      </c>
      <c r="B73" s="12">
        <v>0.6312268518518519</v>
      </c>
      <c r="C73" s="11" t="s">
        <v>301</v>
      </c>
      <c r="D73" s="11" t="s">
        <v>306</v>
      </c>
      <c r="E73" s="11" t="s">
        <v>388</v>
      </c>
      <c r="F73" s="11" t="s">
        <v>409</v>
      </c>
      <c r="G73">
        <v>0</v>
      </c>
      <c r="H73">
        <v>265</v>
      </c>
      <c r="I73">
        <v>5088</v>
      </c>
    </row>
    <row r="74" spans="1:9" x14ac:dyDescent="0.25">
      <c r="A74" s="11" t="s">
        <v>343</v>
      </c>
      <c r="B74" s="12">
        <v>0.61608796296296298</v>
      </c>
      <c r="C74" s="11" t="s">
        <v>301</v>
      </c>
      <c r="D74" s="11" t="s">
        <v>306</v>
      </c>
      <c r="E74" s="11" t="s">
        <v>388</v>
      </c>
      <c r="F74" s="11" t="s">
        <v>403</v>
      </c>
      <c r="G74">
        <v>0</v>
      </c>
      <c r="H74">
        <v>100</v>
      </c>
      <c r="I74">
        <v>5353</v>
      </c>
    </row>
    <row r="75" spans="1:9" x14ac:dyDescent="0.25">
      <c r="A75" s="11" t="s">
        <v>343</v>
      </c>
      <c r="B75" s="12">
        <v>0.61442129629629627</v>
      </c>
      <c r="C75" s="11" t="s">
        <v>301</v>
      </c>
      <c r="D75" s="11" t="s">
        <v>306</v>
      </c>
      <c r="E75" s="11" t="s">
        <v>389</v>
      </c>
      <c r="F75" s="11" t="s">
        <v>383</v>
      </c>
      <c r="G75">
        <v>0</v>
      </c>
      <c r="H75">
        <v>11</v>
      </c>
      <c r="I75">
        <v>5453</v>
      </c>
    </row>
    <row r="76" spans="1:9" x14ac:dyDescent="0.25">
      <c r="A76" s="11" t="s">
        <v>343</v>
      </c>
      <c r="B76" s="12">
        <v>0.46130787037037035</v>
      </c>
      <c r="C76" s="11" t="s">
        <v>301</v>
      </c>
      <c r="D76" s="11" t="s">
        <v>306</v>
      </c>
      <c r="E76" s="11" t="s">
        <v>384</v>
      </c>
      <c r="F76" s="11" t="s">
        <v>391</v>
      </c>
      <c r="G76">
        <v>5420</v>
      </c>
      <c r="H76">
        <v>0</v>
      </c>
      <c r="I76">
        <v>5464</v>
      </c>
    </row>
    <row r="77" spans="1:9" x14ac:dyDescent="0.25">
      <c r="A77" s="11" t="s">
        <v>343</v>
      </c>
      <c r="B77" s="12">
        <v>0.40194444444444444</v>
      </c>
      <c r="C77" s="11" t="s">
        <v>301</v>
      </c>
      <c r="D77" s="11" t="s">
        <v>306</v>
      </c>
      <c r="E77" s="11" t="s">
        <v>381</v>
      </c>
      <c r="F77" s="11" t="s">
        <v>385</v>
      </c>
      <c r="G77">
        <v>0</v>
      </c>
      <c r="H77">
        <v>50</v>
      </c>
      <c r="I77">
        <v>44</v>
      </c>
    </row>
    <row r="78" spans="1:9" x14ac:dyDescent="0.25">
      <c r="A78" s="11" t="s">
        <v>344</v>
      </c>
      <c r="B78" s="12">
        <v>0.91253472222222221</v>
      </c>
      <c r="C78" s="11" t="s">
        <v>301</v>
      </c>
      <c r="D78" s="11" t="s">
        <v>305</v>
      </c>
      <c r="E78" s="11" t="s">
        <v>389</v>
      </c>
      <c r="F78" s="11" t="s">
        <v>392</v>
      </c>
      <c r="G78">
        <v>0</v>
      </c>
      <c r="H78">
        <v>30</v>
      </c>
      <c r="I78">
        <v>94</v>
      </c>
    </row>
    <row r="79" spans="1:9" x14ac:dyDescent="0.25">
      <c r="A79" s="11" t="s">
        <v>344</v>
      </c>
      <c r="B79" s="12">
        <v>0.84871527777777778</v>
      </c>
      <c r="C79" s="11" t="s">
        <v>301</v>
      </c>
      <c r="D79" s="11" t="s">
        <v>305</v>
      </c>
      <c r="E79" s="11" t="s">
        <v>384</v>
      </c>
      <c r="F79" s="11" t="s">
        <v>410</v>
      </c>
      <c r="G79">
        <v>100</v>
      </c>
      <c r="H79">
        <v>0</v>
      </c>
      <c r="I79">
        <v>124</v>
      </c>
    </row>
    <row r="80" spans="1:9" x14ac:dyDescent="0.25">
      <c r="A80" s="11" t="s">
        <v>344</v>
      </c>
      <c r="B80" s="12">
        <v>0.84256944444444448</v>
      </c>
      <c r="C80" s="11" t="s">
        <v>301</v>
      </c>
      <c r="D80" s="11" t="s">
        <v>305</v>
      </c>
      <c r="E80" s="11" t="s">
        <v>388</v>
      </c>
      <c r="F80" s="11" t="s">
        <v>409</v>
      </c>
      <c r="G80">
        <v>0</v>
      </c>
      <c r="H80">
        <v>45</v>
      </c>
      <c r="I80">
        <v>24</v>
      </c>
    </row>
    <row r="81" spans="1:9" x14ac:dyDescent="0.25">
      <c r="A81" s="11" t="s">
        <v>344</v>
      </c>
      <c r="B81" s="12">
        <v>0.5552083333333333</v>
      </c>
      <c r="C81" s="11" t="s">
        <v>301</v>
      </c>
      <c r="D81" s="11" t="s">
        <v>305</v>
      </c>
      <c r="E81" s="11" t="s">
        <v>389</v>
      </c>
      <c r="F81" s="11" t="s">
        <v>392</v>
      </c>
      <c r="G81">
        <v>0</v>
      </c>
      <c r="H81">
        <v>30</v>
      </c>
      <c r="I81">
        <v>69</v>
      </c>
    </row>
    <row r="82" spans="1:9" x14ac:dyDescent="0.25">
      <c r="A82" s="11" t="s">
        <v>344</v>
      </c>
      <c r="B82" s="12">
        <v>0.4525925925925926</v>
      </c>
      <c r="C82" s="11" t="s">
        <v>301</v>
      </c>
      <c r="D82" s="11" t="s">
        <v>305</v>
      </c>
      <c r="E82" s="11" t="s">
        <v>381</v>
      </c>
      <c r="F82" s="11" t="s">
        <v>385</v>
      </c>
      <c r="G82">
        <v>0</v>
      </c>
      <c r="H82">
        <v>25</v>
      </c>
      <c r="I82">
        <v>99</v>
      </c>
    </row>
    <row r="83" spans="1:9" x14ac:dyDescent="0.25">
      <c r="A83" s="11" t="s">
        <v>344</v>
      </c>
      <c r="B83" s="12">
        <v>0.41122685185185187</v>
      </c>
      <c r="C83" s="11" t="s">
        <v>301</v>
      </c>
      <c r="D83" s="11" t="s">
        <v>305</v>
      </c>
      <c r="E83" s="11" t="s">
        <v>388</v>
      </c>
      <c r="F83" s="11" t="s">
        <v>409</v>
      </c>
      <c r="G83">
        <v>0</v>
      </c>
      <c r="H83">
        <v>30</v>
      </c>
      <c r="I83">
        <v>124</v>
      </c>
    </row>
    <row r="84" spans="1:9" x14ac:dyDescent="0.25">
      <c r="A84" s="11" t="s">
        <v>345</v>
      </c>
      <c r="B84" s="12">
        <v>0.89362268518518517</v>
      </c>
      <c r="C84" s="11" t="s">
        <v>301</v>
      </c>
      <c r="D84" s="11" t="s">
        <v>311</v>
      </c>
      <c r="E84" s="11" t="s">
        <v>384</v>
      </c>
      <c r="F84" s="11" t="s">
        <v>327</v>
      </c>
      <c r="G84">
        <v>100</v>
      </c>
      <c r="H84">
        <v>0</v>
      </c>
      <c r="I84">
        <v>154</v>
      </c>
    </row>
    <row r="85" spans="1:9" x14ac:dyDescent="0.25">
      <c r="A85" s="11" t="s">
        <v>345</v>
      </c>
      <c r="B85" s="12">
        <v>0.61101851851851852</v>
      </c>
      <c r="C85" s="11" t="s">
        <v>301</v>
      </c>
      <c r="D85" s="11" t="s">
        <v>311</v>
      </c>
      <c r="E85" s="11" t="s">
        <v>389</v>
      </c>
      <c r="F85" s="11" t="s">
        <v>392</v>
      </c>
      <c r="G85">
        <v>0</v>
      </c>
      <c r="H85">
        <v>30</v>
      </c>
      <c r="I85">
        <v>54</v>
      </c>
    </row>
    <row r="86" spans="1:9" x14ac:dyDescent="0.25">
      <c r="A86" s="11" t="s">
        <v>345</v>
      </c>
      <c r="B86" s="12">
        <v>0.53616898148148151</v>
      </c>
      <c r="C86" s="11" t="s">
        <v>301</v>
      </c>
      <c r="D86" s="11" t="s">
        <v>311</v>
      </c>
      <c r="E86" s="11" t="s">
        <v>381</v>
      </c>
      <c r="F86" s="11" t="s">
        <v>397</v>
      </c>
      <c r="G86">
        <v>0</v>
      </c>
      <c r="H86">
        <v>5</v>
      </c>
      <c r="I86">
        <v>84</v>
      </c>
    </row>
    <row r="87" spans="1:9" x14ac:dyDescent="0.25">
      <c r="A87" s="11" t="s">
        <v>345</v>
      </c>
      <c r="B87" s="12">
        <v>0.52729166666666671</v>
      </c>
      <c r="C87" s="11" t="s">
        <v>301</v>
      </c>
      <c r="D87" s="11" t="s">
        <v>311</v>
      </c>
      <c r="E87" s="11" t="s">
        <v>384</v>
      </c>
      <c r="F87" s="11" t="s">
        <v>393</v>
      </c>
      <c r="G87">
        <v>80</v>
      </c>
      <c r="H87">
        <v>0</v>
      </c>
      <c r="I87">
        <v>89</v>
      </c>
    </row>
    <row r="88" spans="1:9" x14ac:dyDescent="0.25">
      <c r="A88" s="11" t="s">
        <v>345</v>
      </c>
      <c r="B88" s="12">
        <v>0.46774305555555556</v>
      </c>
      <c r="C88" s="11" t="s">
        <v>301</v>
      </c>
      <c r="D88" s="11" t="s">
        <v>311</v>
      </c>
      <c r="E88" s="11" t="s">
        <v>381</v>
      </c>
      <c r="F88" s="11" t="s">
        <v>385</v>
      </c>
      <c r="G88">
        <v>0</v>
      </c>
      <c r="H88">
        <v>20</v>
      </c>
      <c r="I88">
        <v>9</v>
      </c>
    </row>
    <row r="89" spans="1:9" x14ac:dyDescent="0.25">
      <c r="A89" s="11" t="s">
        <v>345</v>
      </c>
      <c r="B89" s="12">
        <v>0.44165509259259261</v>
      </c>
      <c r="C89" s="11" t="s">
        <v>301</v>
      </c>
      <c r="D89" s="11" t="s">
        <v>311</v>
      </c>
      <c r="E89" s="11" t="s">
        <v>389</v>
      </c>
      <c r="F89" s="11" t="s">
        <v>383</v>
      </c>
      <c r="G89">
        <v>0</v>
      </c>
      <c r="H89">
        <v>3</v>
      </c>
      <c r="I89">
        <v>29</v>
      </c>
    </row>
    <row r="90" spans="1:9" x14ac:dyDescent="0.25">
      <c r="A90" s="11" t="s">
        <v>346</v>
      </c>
      <c r="B90" s="12">
        <v>0.61416666666666664</v>
      </c>
      <c r="C90" s="11" t="s">
        <v>301</v>
      </c>
      <c r="D90" s="11" t="s">
        <v>310</v>
      </c>
      <c r="E90" s="11" t="s">
        <v>381</v>
      </c>
      <c r="F90" s="11" t="s">
        <v>415</v>
      </c>
      <c r="G90">
        <v>0</v>
      </c>
      <c r="H90">
        <v>100</v>
      </c>
      <c r="I90">
        <v>32</v>
      </c>
    </row>
    <row r="91" spans="1:9" x14ac:dyDescent="0.25">
      <c r="A91" s="11" t="s">
        <v>346</v>
      </c>
      <c r="B91" s="12">
        <v>0.60724537037037041</v>
      </c>
      <c r="C91" s="11" t="s">
        <v>301</v>
      </c>
      <c r="D91" s="11" t="s">
        <v>310</v>
      </c>
      <c r="E91" s="11" t="s">
        <v>389</v>
      </c>
      <c r="F91" s="11" t="s">
        <v>392</v>
      </c>
      <c r="G91">
        <v>0</v>
      </c>
      <c r="H91">
        <v>30</v>
      </c>
      <c r="I91">
        <v>132</v>
      </c>
    </row>
    <row r="92" spans="1:9" x14ac:dyDescent="0.25">
      <c r="A92" s="11" t="s">
        <v>346</v>
      </c>
      <c r="B92" s="12">
        <v>0.43351851851851853</v>
      </c>
      <c r="C92" s="11" t="s">
        <v>301</v>
      </c>
      <c r="D92" s="11" t="s">
        <v>310</v>
      </c>
      <c r="E92" s="11" t="s">
        <v>381</v>
      </c>
      <c r="F92" s="11" t="s">
        <v>385</v>
      </c>
      <c r="G92">
        <v>0</v>
      </c>
      <c r="H92">
        <v>15</v>
      </c>
      <c r="I92">
        <v>162</v>
      </c>
    </row>
    <row r="93" spans="1:9" x14ac:dyDescent="0.25">
      <c r="A93" s="11" t="s">
        <v>346</v>
      </c>
      <c r="B93" s="12">
        <v>0.36434027777777778</v>
      </c>
      <c r="C93" s="11" t="s">
        <v>301</v>
      </c>
      <c r="D93" s="11" t="s">
        <v>310</v>
      </c>
      <c r="E93" s="11" t="s">
        <v>384</v>
      </c>
      <c r="F93" s="11" t="s">
        <v>393</v>
      </c>
      <c r="G93">
        <v>100</v>
      </c>
      <c r="H93">
        <v>0</v>
      </c>
      <c r="I93">
        <v>177</v>
      </c>
    </row>
    <row r="94" spans="1:9" x14ac:dyDescent="0.25">
      <c r="A94" s="11" t="s">
        <v>346</v>
      </c>
      <c r="B94" s="12">
        <v>0.26046296296296295</v>
      </c>
      <c r="C94" s="11" t="s">
        <v>301</v>
      </c>
      <c r="D94" s="11" t="s">
        <v>310</v>
      </c>
      <c r="E94" s="11" t="s">
        <v>384</v>
      </c>
      <c r="F94" s="11" t="s">
        <v>410</v>
      </c>
      <c r="G94">
        <v>57</v>
      </c>
      <c r="H94">
        <v>0</v>
      </c>
      <c r="I94">
        <v>77</v>
      </c>
    </row>
    <row r="95" spans="1:9" x14ac:dyDescent="0.25">
      <c r="A95" s="11" t="s">
        <v>347</v>
      </c>
      <c r="B95" s="12">
        <v>0.80396990740740737</v>
      </c>
      <c r="C95" s="11" t="s">
        <v>301</v>
      </c>
      <c r="D95" s="11" t="s">
        <v>309</v>
      </c>
      <c r="E95" s="11" t="s">
        <v>381</v>
      </c>
      <c r="F95" s="11" t="s">
        <v>415</v>
      </c>
      <c r="G95">
        <v>0</v>
      </c>
      <c r="H95">
        <v>25</v>
      </c>
      <c r="I95">
        <v>20</v>
      </c>
    </row>
    <row r="96" spans="1:9" x14ac:dyDescent="0.25">
      <c r="A96" s="11" t="s">
        <v>347</v>
      </c>
      <c r="B96" s="12">
        <v>0.71278935185185188</v>
      </c>
      <c r="C96" s="11" t="s">
        <v>301</v>
      </c>
      <c r="D96" s="11" t="s">
        <v>309</v>
      </c>
      <c r="E96" s="11" t="s">
        <v>389</v>
      </c>
      <c r="F96" s="11" t="s">
        <v>392</v>
      </c>
      <c r="G96">
        <v>0</v>
      </c>
      <c r="H96">
        <v>30</v>
      </c>
      <c r="I96">
        <v>45</v>
      </c>
    </row>
    <row r="97" spans="1:9" x14ac:dyDescent="0.25">
      <c r="A97" s="11" t="s">
        <v>347</v>
      </c>
      <c r="B97" s="12">
        <v>0.62312500000000004</v>
      </c>
      <c r="C97" s="11" t="s">
        <v>301</v>
      </c>
      <c r="D97" s="11" t="s">
        <v>309</v>
      </c>
      <c r="E97" s="11" t="s">
        <v>389</v>
      </c>
      <c r="F97" s="11" t="s">
        <v>383</v>
      </c>
      <c r="G97">
        <v>0</v>
      </c>
      <c r="H97">
        <v>3</v>
      </c>
      <c r="I97">
        <v>75</v>
      </c>
    </row>
    <row r="98" spans="1:9" x14ac:dyDescent="0.25">
      <c r="A98" s="11" t="s">
        <v>347</v>
      </c>
      <c r="B98" s="12">
        <v>0.44619212962962962</v>
      </c>
      <c r="C98" s="11" t="s">
        <v>301</v>
      </c>
      <c r="D98" s="11" t="s">
        <v>309</v>
      </c>
      <c r="E98" s="11" t="s">
        <v>381</v>
      </c>
      <c r="F98" s="11" t="s">
        <v>415</v>
      </c>
      <c r="G98">
        <v>0</v>
      </c>
      <c r="H98">
        <v>20</v>
      </c>
      <c r="I98">
        <v>78</v>
      </c>
    </row>
    <row r="99" spans="1:9" x14ac:dyDescent="0.25">
      <c r="A99" s="11" t="s">
        <v>347</v>
      </c>
      <c r="B99" s="12">
        <v>0.4455439814814815</v>
      </c>
      <c r="C99" s="11" t="s">
        <v>301</v>
      </c>
      <c r="D99" s="11" t="s">
        <v>309</v>
      </c>
      <c r="E99" s="11" t="s">
        <v>381</v>
      </c>
      <c r="F99" s="11" t="s">
        <v>385</v>
      </c>
      <c r="G99">
        <v>0</v>
      </c>
      <c r="H99">
        <v>25</v>
      </c>
      <c r="I99">
        <v>98</v>
      </c>
    </row>
    <row r="100" spans="1:9" x14ac:dyDescent="0.25">
      <c r="A100" s="11" t="s">
        <v>348</v>
      </c>
      <c r="B100" s="12">
        <v>0.84334490740740742</v>
      </c>
      <c r="C100" s="11" t="s">
        <v>301</v>
      </c>
      <c r="D100" s="11" t="s">
        <v>308</v>
      </c>
      <c r="E100" s="11" t="s">
        <v>384</v>
      </c>
      <c r="F100" s="11" t="s">
        <v>393</v>
      </c>
      <c r="G100">
        <v>100</v>
      </c>
      <c r="H100">
        <v>0</v>
      </c>
      <c r="I100">
        <v>123</v>
      </c>
    </row>
    <row r="101" spans="1:9" x14ac:dyDescent="0.25">
      <c r="A101" s="11" t="s">
        <v>348</v>
      </c>
      <c r="B101" s="12">
        <v>0.81540509259259264</v>
      </c>
      <c r="C101" s="11" t="s">
        <v>301</v>
      </c>
      <c r="D101" s="11" t="s">
        <v>308</v>
      </c>
      <c r="E101" s="11" t="s">
        <v>381</v>
      </c>
      <c r="F101" s="11" t="s">
        <v>415</v>
      </c>
      <c r="G101">
        <v>0</v>
      </c>
      <c r="H101">
        <v>65</v>
      </c>
      <c r="I101">
        <v>23</v>
      </c>
    </row>
    <row r="102" spans="1:9" x14ac:dyDescent="0.25">
      <c r="A102" s="11" t="s">
        <v>348</v>
      </c>
      <c r="B102" s="12">
        <v>0.69120370370370365</v>
      </c>
      <c r="C102" s="11" t="s">
        <v>301</v>
      </c>
      <c r="D102" s="11" t="s">
        <v>308</v>
      </c>
      <c r="E102" s="11" t="s">
        <v>389</v>
      </c>
      <c r="F102" s="11" t="s">
        <v>392</v>
      </c>
      <c r="G102">
        <v>0</v>
      </c>
      <c r="H102">
        <v>30</v>
      </c>
      <c r="I102">
        <v>88</v>
      </c>
    </row>
    <row r="103" spans="1:9" x14ac:dyDescent="0.25">
      <c r="A103" s="11" t="s">
        <v>348</v>
      </c>
      <c r="B103" s="12">
        <v>0.46854166666666669</v>
      </c>
      <c r="C103" s="11" t="s">
        <v>301</v>
      </c>
      <c r="D103" s="11" t="s">
        <v>308</v>
      </c>
      <c r="E103" s="11" t="s">
        <v>381</v>
      </c>
      <c r="F103" s="11" t="s">
        <v>415</v>
      </c>
      <c r="G103">
        <v>0</v>
      </c>
      <c r="H103">
        <v>15</v>
      </c>
      <c r="I103">
        <v>118</v>
      </c>
    </row>
    <row r="104" spans="1:9" x14ac:dyDescent="0.25">
      <c r="A104" s="11" t="s">
        <v>348</v>
      </c>
      <c r="B104" s="12">
        <v>0.46759259259259262</v>
      </c>
      <c r="C104" s="11" t="s">
        <v>301</v>
      </c>
      <c r="D104" s="11" t="s">
        <v>308</v>
      </c>
      <c r="E104" s="11" t="s">
        <v>388</v>
      </c>
      <c r="F104" s="11" t="s">
        <v>409</v>
      </c>
      <c r="G104">
        <v>0</v>
      </c>
      <c r="H104">
        <v>50</v>
      </c>
      <c r="I104">
        <v>133</v>
      </c>
    </row>
    <row r="105" spans="1:9" x14ac:dyDescent="0.25">
      <c r="A105" s="11" t="s">
        <v>348</v>
      </c>
      <c r="B105" s="12">
        <v>0.36302083333333335</v>
      </c>
      <c r="C105" s="11" t="s">
        <v>301</v>
      </c>
      <c r="D105" s="11" t="s">
        <v>308</v>
      </c>
      <c r="E105" s="11" t="s">
        <v>384</v>
      </c>
      <c r="F105" s="11" t="s">
        <v>410</v>
      </c>
      <c r="G105">
        <v>60</v>
      </c>
      <c r="H105">
        <v>0</v>
      </c>
      <c r="I105">
        <v>183</v>
      </c>
    </row>
    <row r="106" spans="1:9" x14ac:dyDescent="0.25">
      <c r="A106" s="11" t="s">
        <v>349</v>
      </c>
      <c r="B106" s="12">
        <v>0.82003472222222218</v>
      </c>
      <c r="C106" s="11" t="s">
        <v>301</v>
      </c>
      <c r="D106" s="11" t="s">
        <v>307</v>
      </c>
      <c r="E106" s="11" t="s">
        <v>388</v>
      </c>
      <c r="F106" s="11" t="s">
        <v>409</v>
      </c>
      <c r="G106">
        <v>0</v>
      </c>
      <c r="H106">
        <v>15</v>
      </c>
      <c r="I106">
        <v>123</v>
      </c>
    </row>
    <row r="107" spans="1:9" x14ac:dyDescent="0.25">
      <c r="A107" s="11" t="s">
        <v>349</v>
      </c>
      <c r="B107" s="12">
        <v>0.81873842592592594</v>
      </c>
      <c r="C107" s="11" t="s">
        <v>301</v>
      </c>
      <c r="D107" s="11" t="s">
        <v>307</v>
      </c>
      <c r="E107" s="11" t="s">
        <v>387</v>
      </c>
      <c r="F107" s="11" t="s">
        <v>408</v>
      </c>
      <c r="G107">
        <v>0</v>
      </c>
      <c r="H107">
        <v>40</v>
      </c>
      <c r="I107">
        <v>138</v>
      </c>
    </row>
    <row r="108" spans="1:9" x14ac:dyDescent="0.25">
      <c r="A108" s="11" t="s">
        <v>349</v>
      </c>
      <c r="B108" s="12">
        <v>0.66625000000000001</v>
      </c>
      <c r="C108" s="11" t="s">
        <v>301</v>
      </c>
      <c r="D108" s="11" t="s">
        <v>307</v>
      </c>
      <c r="E108" s="11" t="s">
        <v>389</v>
      </c>
      <c r="F108" s="11" t="s">
        <v>392</v>
      </c>
      <c r="G108">
        <v>0</v>
      </c>
      <c r="H108">
        <v>30</v>
      </c>
      <c r="I108">
        <v>178</v>
      </c>
    </row>
    <row r="109" spans="1:9" x14ac:dyDescent="0.25">
      <c r="A109" s="11" t="s">
        <v>349</v>
      </c>
      <c r="B109" s="12">
        <v>0.41309027777777779</v>
      </c>
      <c r="C109" s="11" t="s">
        <v>301</v>
      </c>
      <c r="D109" s="11" t="s">
        <v>307</v>
      </c>
      <c r="E109" s="11" t="s">
        <v>381</v>
      </c>
      <c r="F109" s="11" t="s">
        <v>385</v>
      </c>
      <c r="G109">
        <v>0</v>
      </c>
      <c r="H109">
        <v>25</v>
      </c>
      <c r="I109">
        <v>208</v>
      </c>
    </row>
    <row r="110" spans="1:9" x14ac:dyDescent="0.25">
      <c r="A110" s="11" t="s">
        <v>349</v>
      </c>
      <c r="B110" s="12">
        <v>0.39894675925925926</v>
      </c>
      <c r="C110" s="11" t="s">
        <v>301</v>
      </c>
      <c r="D110" s="11" t="s">
        <v>307</v>
      </c>
      <c r="E110" s="11" t="s">
        <v>389</v>
      </c>
      <c r="F110" s="11" t="s">
        <v>392</v>
      </c>
      <c r="G110">
        <v>0</v>
      </c>
      <c r="H110">
        <v>30</v>
      </c>
      <c r="I110">
        <v>233</v>
      </c>
    </row>
    <row r="111" spans="1:9" x14ac:dyDescent="0.25">
      <c r="A111" s="11" t="s">
        <v>349</v>
      </c>
      <c r="B111" s="12">
        <v>0.36049768518518521</v>
      </c>
      <c r="C111" s="11" t="s">
        <v>301</v>
      </c>
      <c r="D111" s="11" t="s">
        <v>307</v>
      </c>
      <c r="E111" s="11" t="s">
        <v>384</v>
      </c>
      <c r="F111" s="11" t="s">
        <v>393</v>
      </c>
      <c r="G111">
        <v>100</v>
      </c>
      <c r="H111">
        <v>0</v>
      </c>
      <c r="I111">
        <v>263</v>
      </c>
    </row>
    <row r="112" spans="1:9" x14ac:dyDescent="0.25">
      <c r="A112" s="11" t="s">
        <v>350</v>
      </c>
      <c r="B112" s="12">
        <v>0.77193287037037039</v>
      </c>
      <c r="C112" s="11" t="s">
        <v>301</v>
      </c>
      <c r="D112" s="11" t="s">
        <v>306</v>
      </c>
      <c r="E112" s="11" t="s">
        <v>384</v>
      </c>
      <c r="F112" s="11" t="s">
        <v>393</v>
      </c>
      <c r="G112">
        <v>100</v>
      </c>
      <c r="H112">
        <v>0</v>
      </c>
      <c r="I112">
        <v>163</v>
      </c>
    </row>
    <row r="113" spans="1:9" x14ac:dyDescent="0.25">
      <c r="A113" s="11" t="s">
        <v>350</v>
      </c>
      <c r="B113" s="12">
        <v>0.77150462962962962</v>
      </c>
      <c r="C113" s="11" t="s">
        <v>301</v>
      </c>
      <c r="D113" s="11" t="s">
        <v>306</v>
      </c>
      <c r="E113" s="11" t="s">
        <v>384</v>
      </c>
      <c r="F113" s="11" t="s">
        <v>393</v>
      </c>
      <c r="G113">
        <v>50</v>
      </c>
      <c r="H113">
        <v>0</v>
      </c>
      <c r="I113">
        <v>63</v>
      </c>
    </row>
    <row r="114" spans="1:9" x14ac:dyDescent="0.25">
      <c r="A114" s="11" t="s">
        <v>350</v>
      </c>
      <c r="B114" s="12">
        <v>0.43839120370370371</v>
      </c>
      <c r="C114" s="11" t="s">
        <v>301</v>
      </c>
      <c r="D114" s="11" t="s">
        <v>306</v>
      </c>
      <c r="E114" s="11" t="s">
        <v>389</v>
      </c>
      <c r="F114" s="11" t="s">
        <v>383</v>
      </c>
      <c r="G114">
        <v>0</v>
      </c>
      <c r="H114">
        <v>3</v>
      </c>
      <c r="I114">
        <v>13</v>
      </c>
    </row>
    <row r="115" spans="1:9" x14ac:dyDescent="0.25">
      <c r="A115" s="11" t="s">
        <v>350</v>
      </c>
      <c r="B115" s="12">
        <v>0.41483796296296294</v>
      </c>
      <c r="C115" s="11" t="s">
        <v>301</v>
      </c>
      <c r="D115" s="11" t="s">
        <v>306</v>
      </c>
      <c r="E115" s="11" t="s">
        <v>388</v>
      </c>
      <c r="F115" s="11" t="s">
        <v>409</v>
      </c>
      <c r="G115">
        <v>0</v>
      </c>
      <c r="H115">
        <v>60</v>
      </c>
      <c r="I115">
        <v>16</v>
      </c>
    </row>
    <row r="116" spans="1:9" x14ac:dyDescent="0.25">
      <c r="A116" s="11" t="s">
        <v>350</v>
      </c>
      <c r="B116" s="12">
        <v>0.4105787037037037</v>
      </c>
      <c r="C116" s="11" t="s">
        <v>301</v>
      </c>
      <c r="D116" s="11" t="s">
        <v>306</v>
      </c>
      <c r="E116" s="11" t="s">
        <v>384</v>
      </c>
      <c r="F116" s="11" t="s">
        <v>406</v>
      </c>
      <c r="G116">
        <v>25</v>
      </c>
      <c r="H116">
        <v>0</v>
      </c>
      <c r="I116">
        <v>76</v>
      </c>
    </row>
    <row r="117" spans="1:9" x14ac:dyDescent="0.25">
      <c r="A117" s="11" t="s">
        <v>351</v>
      </c>
      <c r="B117" s="12">
        <v>0.91508101851851853</v>
      </c>
      <c r="C117" s="11" t="s">
        <v>301</v>
      </c>
      <c r="D117" s="11" t="s">
        <v>305</v>
      </c>
      <c r="E117" s="11" t="s">
        <v>389</v>
      </c>
      <c r="F117" s="11" t="s">
        <v>392</v>
      </c>
      <c r="G117">
        <v>0</v>
      </c>
      <c r="H117">
        <v>30</v>
      </c>
      <c r="I117">
        <v>51</v>
      </c>
    </row>
    <row r="118" spans="1:9" x14ac:dyDescent="0.25">
      <c r="A118" s="11" t="s">
        <v>351</v>
      </c>
      <c r="B118" s="12">
        <v>0.91246527777777775</v>
      </c>
      <c r="C118" s="11" t="s">
        <v>301</v>
      </c>
      <c r="D118" s="11" t="s">
        <v>305</v>
      </c>
      <c r="E118" s="11" t="s">
        <v>384</v>
      </c>
      <c r="F118" s="11" t="s">
        <v>410</v>
      </c>
      <c r="G118">
        <v>30</v>
      </c>
      <c r="H118">
        <v>0</v>
      </c>
      <c r="I118">
        <v>81</v>
      </c>
    </row>
    <row r="119" spans="1:9" x14ac:dyDescent="0.25">
      <c r="A119" s="11" t="s">
        <v>351</v>
      </c>
      <c r="B119" s="12">
        <v>0.89841435185185181</v>
      </c>
      <c r="C119" s="11" t="s">
        <v>301</v>
      </c>
      <c r="D119" s="11" t="s">
        <v>305</v>
      </c>
      <c r="E119" s="11" t="s">
        <v>384</v>
      </c>
      <c r="F119" s="11" t="s">
        <v>410</v>
      </c>
      <c r="G119">
        <v>50</v>
      </c>
      <c r="H119">
        <v>0</v>
      </c>
      <c r="I119">
        <v>51</v>
      </c>
    </row>
    <row r="120" spans="1:9" x14ac:dyDescent="0.25">
      <c r="A120" s="11" t="s">
        <v>351</v>
      </c>
      <c r="B120" s="12">
        <v>0.4458449074074074</v>
      </c>
      <c r="C120" s="11" t="s">
        <v>301</v>
      </c>
      <c r="D120" s="11" t="s">
        <v>305</v>
      </c>
      <c r="E120" s="11" t="s">
        <v>381</v>
      </c>
      <c r="F120" s="11" t="s">
        <v>385</v>
      </c>
      <c r="G120">
        <v>0</v>
      </c>
      <c r="H120">
        <v>25</v>
      </c>
      <c r="I120">
        <v>1</v>
      </c>
    </row>
    <row r="121" spans="1:9" x14ac:dyDescent="0.25">
      <c r="A121" s="11" t="s">
        <v>351</v>
      </c>
      <c r="B121" s="12">
        <v>0.39401620370370372</v>
      </c>
      <c r="C121" s="11" t="s">
        <v>301</v>
      </c>
      <c r="D121" s="11" t="s">
        <v>305</v>
      </c>
      <c r="E121" s="11" t="s">
        <v>389</v>
      </c>
      <c r="F121" s="11" t="s">
        <v>392</v>
      </c>
      <c r="G121">
        <v>0</v>
      </c>
      <c r="H121">
        <v>30</v>
      </c>
      <c r="I121">
        <v>26</v>
      </c>
    </row>
    <row r="122" spans="1:9" x14ac:dyDescent="0.25">
      <c r="A122" s="11" t="s">
        <v>351</v>
      </c>
      <c r="B122" s="12">
        <v>0.3911574074074074</v>
      </c>
      <c r="C122" s="11" t="s">
        <v>301</v>
      </c>
      <c r="D122" s="11" t="s">
        <v>305</v>
      </c>
      <c r="E122" s="11" t="s">
        <v>384</v>
      </c>
      <c r="F122" s="11" t="s">
        <v>406</v>
      </c>
      <c r="G122">
        <v>55</v>
      </c>
      <c r="H122">
        <v>0</v>
      </c>
      <c r="I122">
        <v>56</v>
      </c>
    </row>
    <row r="123" spans="1:9" x14ac:dyDescent="0.25">
      <c r="A123" s="11" t="s">
        <v>352</v>
      </c>
      <c r="B123" s="12">
        <v>2.7546296296296294E-3</v>
      </c>
      <c r="C123" s="11" t="s">
        <v>301</v>
      </c>
      <c r="D123" s="11" t="s">
        <v>311</v>
      </c>
      <c r="E123" s="11" t="s">
        <v>389</v>
      </c>
      <c r="F123" s="11" t="s">
        <v>383</v>
      </c>
      <c r="G123">
        <v>0</v>
      </c>
      <c r="H123">
        <v>22</v>
      </c>
      <c r="I123">
        <v>1</v>
      </c>
    </row>
    <row r="124" spans="1:9" x14ac:dyDescent="0.25">
      <c r="A124" s="11" t="s">
        <v>353</v>
      </c>
      <c r="B124" s="12">
        <v>0.99902777777777774</v>
      </c>
      <c r="C124" s="11" t="s">
        <v>301</v>
      </c>
      <c r="D124" s="11" t="s">
        <v>310</v>
      </c>
      <c r="E124" s="11" t="s">
        <v>389</v>
      </c>
      <c r="F124" s="11" t="s">
        <v>392</v>
      </c>
      <c r="G124">
        <v>0</v>
      </c>
      <c r="H124">
        <v>30</v>
      </c>
      <c r="I124">
        <v>23</v>
      </c>
    </row>
    <row r="125" spans="1:9" x14ac:dyDescent="0.25">
      <c r="A125" s="11" t="s">
        <v>353</v>
      </c>
      <c r="B125" s="12">
        <v>0.99792824074074071</v>
      </c>
      <c r="C125" s="11" t="s">
        <v>301</v>
      </c>
      <c r="D125" s="11" t="s">
        <v>310</v>
      </c>
      <c r="E125" s="11" t="s">
        <v>384</v>
      </c>
      <c r="F125" s="11" t="s">
        <v>406</v>
      </c>
      <c r="G125">
        <v>30</v>
      </c>
      <c r="H125">
        <v>0</v>
      </c>
      <c r="I125">
        <v>53</v>
      </c>
    </row>
    <row r="126" spans="1:9" x14ac:dyDescent="0.25">
      <c r="A126" s="11" t="s">
        <v>353</v>
      </c>
      <c r="B126" s="12">
        <v>0.78055555555555556</v>
      </c>
      <c r="C126" s="11" t="s">
        <v>301</v>
      </c>
      <c r="D126" s="11" t="s">
        <v>310</v>
      </c>
      <c r="E126" s="11" t="s">
        <v>387</v>
      </c>
      <c r="F126" s="11" t="s">
        <v>398</v>
      </c>
      <c r="G126">
        <v>0</v>
      </c>
      <c r="H126">
        <v>10</v>
      </c>
      <c r="I126">
        <v>23</v>
      </c>
    </row>
    <row r="127" spans="1:9" x14ac:dyDescent="0.25">
      <c r="A127" s="11" t="s">
        <v>353</v>
      </c>
      <c r="B127" s="12">
        <v>0.73583333333333334</v>
      </c>
      <c r="C127" s="11" t="s">
        <v>301</v>
      </c>
      <c r="D127" s="11" t="s">
        <v>310</v>
      </c>
      <c r="E127" s="11" t="s">
        <v>9</v>
      </c>
      <c r="F127" s="11" t="s">
        <v>382</v>
      </c>
      <c r="G127">
        <v>0</v>
      </c>
      <c r="H127">
        <v>5</v>
      </c>
      <c r="I127">
        <v>33</v>
      </c>
    </row>
    <row r="128" spans="1:9" x14ac:dyDescent="0.25">
      <c r="A128" s="11" t="s">
        <v>353</v>
      </c>
      <c r="B128" s="12">
        <v>0.73583333333333334</v>
      </c>
      <c r="C128" s="11" t="s">
        <v>301</v>
      </c>
      <c r="D128" s="11" t="s">
        <v>310</v>
      </c>
      <c r="E128" s="11" t="s">
        <v>389</v>
      </c>
      <c r="F128" s="11" t="s">
        <v>416</v>
      </c>
      <c r="G128">
        <v>0</v>
      </c>
      <c r="H128">
        <v>400</v>
      </c>
      <c r="I128">
        <v>38</v>
      </c>
    </row>
    <row r="129" spans="1:9" x14ac:dyDescent="0.25">
      <c r="A129" s="11" t="s">
        <v>353</v>
      </c>
      <c r="B129" s="12">
        <v>0.68229166666666663</v>
      </c>
      <c r="C129" s="11" t="s">
        <v>301</v>
      </c>
      <c r="D129" s="11" t="s">
        <v>310</v>
      </c>
      <c r="E129" s="11" t="s">
        <v>21</v>
      </c>
      <c r="F129" s="11" t="s">
        <v>382</v>
      </c>
      <c r="G129">
        <v>0</v>
      </c>
      <c r="H129">
        <v>7</v>
      </c>
      <c r="I129">
        <v>438</v>
      </c>
    </row>
    <row r="130" spans="1:9" x14ac:dyDescent="0.25">
      <c r="A130" s="11" t="s">
        <v>353</v>
      </c>
      <c r="B130" s="12">
        <v>0.68229166666666663</v>
      </c>
      <c r="C130" s="11" t="s">
        <v>301</v>
      </c>
      <c r="D130" s="11" t="s">
        <v>310</v>
      </c>
      <c r="E130" s="11" t="s">
        <v>387</v>
      </c>
      <c r="F130" s="11" t="s">
        <v>399</v>
      </c>
      <c r="G130">
        <v>0</v>
      </c>
      <c r="H130">
        <v>500</v>
      </c>
      <c r="I130">
        <v>445</v>
      </c>
    </row>
    <row r="131" spans="1:9" x14ac:dyDescent="0.25">
      <c r="A131" s="11" t="s">
        <v>353</v>
      </c>
      <c r="B131" s="12">
        <v>0.59472222222222226</v>
      </c>
      <c r="C131" s="11" t="s">
        <v>301</v>
      </c>
      <c r="D131" s="11" t="s">
        <v>310</v>
      </c>
      <c r="E131" s="11" t="s">
        <v>384</v>
      </c>
      <c r="F131" s="11" t="s">
        <v>410</v>
      </c>
      <c r="G131">
        <v>900</v>
      </c>
      <c r="H131">
        <v>0</v>
      </c>
      <c r="I131">
        <v>945</v>
      </c>
    </row>
    <row r="132" spans="1:9" x14ac:dyDescent="0.25">
      <c r="A132" s="11" t="s">
        <v>353</v>
      </c>
      <c r="B132" s="12">
        <v>0.51287037037037042</v>
      </c>
      <c r="C132" s="11" t="s">
        <v>301</v>
      </c>
      <c r="D132" s="11" t="s">
        <v>310</v>
      </c>
      <c r="E132" s="11" t="s">
        <v>381</v>
      </c>
      <c r="F132" s="11" t="s">
        <v>385</v>
      </c>
      <c r="G132">
        <v>0</v>
      </c>
      <c r="H132">
        <v>25</v>
      </c>
      <c r="I132">
        <v>45</v>
      </c>
    </row>
    <row r="133" spans="1:9" x14ac:dyDescent="0.25">
      <c r="A133" s="11" t="s">
        <v>354</v>
      </c>
      <c r="B133" s="12">
        <v>0.91208333333333336</v>
      </c>
      <c r="C133" s="11" t="s">
        <v>300</v>
      </c>
      <c r="D133" s="11" t="s">
        <v>309</v>
      </c>
      <c r="E133" s="11" t="s">
        <v>389</v>
      </c>
      <c r="F133" s="11" t="s">
        <v>392</v>
      </c>
      <c r="G133">
        <v>0</v>
      </c>
      <c r="H133">
        <v>30</v>
      </c>
      <c r="I133">
        <v>70</v>
      </c>
    </row>
    <row r="134" spans="1:9" x14ac:dyDescent="0.25">
      <c r="A134" s="11" t="s">
        <v>354</v>
      </c>
      <c r="B134" s="12">
        <v>0.90942129629629631</v>
      </c>
      <c r="C134" s="11" t="s">
        <v>300</v>
      </c>
      <c r="D134" s="11" t="s">
        <v>309</v>
      </c>
      <c r="E134" s="11" t="s">
        <v>384</v>
      </c>
      <c r="F134" s="11" t="s">
        <v>406</v>
      </c>
      <c r="G134">
        <v>100</v>
      </c>
      <c r="H134">
        <v>0</v>
      </c>
      <c r="I134">
        <v>100</v>
      </c>
    </row>
    <row r="135" spans="1:9" x14ac:dyDescent="0.25">
      <c r="A135" s="11" t="s">
        <v>354</v>
      </c>
      <c r="B135" s="12">
        <v>0.40186342592592594</v>
      </c>
      <c r="C135" s="11" t="s">
        <v>300</v>
      </c>
      <c r="D135" s="11" t="s">
        <v>309</v>
      </c>
      <c r="E135" s="11" t="s">
        <v>381</v>
      </c>
      <c r="F135" s="11" t="s">
        <v>385</v>
      </c>
      <c r="G135">
        <v>0</v>
      </c>
      <c r="H135">
        <v>10</v>
      </c>
      <c r="I135">
        <v>0</v>
      </c>
    </row>
    <row r="136" spans="1:9" x14ac:dyDescent="0.25">
      <c r="A136" s="11" t="s">
        <v>354</v>
      </c>
      <c r="B136" s="12">
        <v>0.4007175925925926</v>
      </c>
      <c r="C136" s="11" t="s">
        <v>300</v>
      </c>
      <c r="D136" s="11" t="s">
        <v>309</v>
      </c>
      <c r="E136" s="11" t="s">
        <v>388</v>
      </c>
      <c r="F136" s="11" t="s">
        <v>409</v>
      </c>
      <c r="G136">
        <v>0</v>
      </c>
      <c r="H136">
        <v>45</v>
      </c>
      <c r="I136">
        <v>10</v>
      </c>
    </row>
    <row r="137" spans="1:9" x14ac:dyDescent="0.25">
      <c r="A137" s="11" t="s">
        <v>355</v>
      </c>
      <c r="B137" s="12">
        <v>0.8183449074074074</v>
      </c>
      <c r="C137" s="11" t="s">
        <v>300</v>
      </c>
      <c r="D137" s="11" t="s">
        <v>308</v>
      </c>
      <c r="E137" s="11" t="s">
        <v>388</v>
      </c>
      <c r="F137" s="11" t="s">
        <v>409</v>
      </c>
      <c r="G137">
        <v>0</v>
      </c>
      <c r="H137">
        <v>5</v>
      </c>
      <c r="I137">
        <v>55</v>
      </c>
    </row>
    <row r="138" spans="1:9" x14ac:dyDescent="0.25">
      <c r="A138" s="11" t="s">
        <v>355</v>
      </c>
      <c r="B138" s="12">
        <v>0.8171180555555555</v>
      </c>
      <c r="C138" s="11" t="s">
        <v>300</v>
      </c>
      <c r="D138" s="11" t="s">
        <v>308</v>
      </c>
      <c r="E138" s="11" t="s">
        <v>381</v>
      </c>
      <c r="F138" s="11" t="s">
        <v>415</v>
      </c>
      <c r="G138">
        <v>0</v>
      </c>
      <c r="H138">
        <v>40</v>
      </c>
      <c r="I138">
        <v>60</v>
      </c>
    </row>
    <row r="139" spans="1:9" x14ac:dyDescent="0.25">
      <c r="A139" s="11" t="s">
        <v>355</v>
      </c>
      <c r="B139" s="12">
        <v>0.81172453703703706</v>
      </c>
      <c r="C139" s="11" t="s">
        <v>300</v>
      </c>
      <c r="D139" s="11" t="s">
        <v>308</v>
      </c>
      <c r="E139" s="11" t="s">
        <v>388</v>
      </c>
      <c r="F139" s="11" t="s">
        <v>412</v>
      </c>
      <c r="G139">
        <v>0</v>
      </c>
      <c r="H139">
        <v>40</v>
      </c>
      <c r="I139">
        <v>100</v>
      </c>
    </row>
    <row r="140" spans="1:9" x14ac:dyDescent="0.25">
      <c r="A140" s="11" t="s">
        <v>355</v>
      </c>
      <c r="B140" s="12">
        <v>0.68611111111111112</v>
      </c>
      <c r="C140" s="11" t="s">
        <v>300</v>
      </c>
      <c r="D140" s="11" t="s">
        <v>308</v>
      </c>
      <c r="E140" s="11" t="s">
        <v>389</v>
      </c>
      <c r="F140" s="11" t="s">
        <v>392</v>
      </c>
      <c r="G140">
        <v>0</v>
      </c>
      <c r="H140">
        <v>30</v>
      </c>
      <c r="I140">
        <v>140</v>
      </c>
    </row>
    <row r="141" spans="1:9" x14ac:dyDescent="0.25">
      <c r="A141" s="11" t="s">
        <v>355</v>
      </c>
      <c r="B141" s="12">
        <v>0.55145833333333338</v>
      </c>
      <c r="C141" s="11" t="s">
        <v>300</v>
      </c>
      <c r="D141" s="11" t="s">
        <v>308</v>
      </c>
      <c r="E141" s="11" t="s">
        <v>381</v>
      </c>
      <c r="F141" s="11" t="s">
        <v>385</v>
      </c>
      <c r="G141">
        <v>0</v>
      </c>
      <c r="H141">
        <v>25</v>
      </c>
      <c r="I141">
        <v>170</v>
      </c>
    </row>
    <row r="142" spans="1:9" x14ac:dyDescent="0.25">
      <c r="A142" s="11" t="s">
        <v>356</v>
      </c>
      <c r="B142" s="12">
        <v>0.81755787037037042</v>
      </c>
      <c r="C142" s="11" t="s">
        <v>300</v>
      </c>
      <c r="D142" s="11" t="s">
        <v>307</v>
      </c>
      <c r="E142" s="11" t="s">
        <v>388</v>
      </c>
      <c r="F142" s="11" t="s">
        <v>409</v>
      </c>
      <c r="G142">
        <v>0</v>
      </c>
      <c r="H142">
        <v>5</v>
      </c>
      <c r="I142">
        <v>195</v>
      </c>
    </row>
    <row r="143" spans="1:9" x14ac:dyDescent="0.25">
      <c r="A143" s="11" t="s">
        <v>356</v>
      </c>
      <c r="B143" s="12">
        <v>0.81631944444444449</v>
      </c>
      <c r="C143" s="11" t="s">
        <v>300</v>
      </c>
      <c r="D143" s="11" t="s">
        <v>307</v>
      </c>
      <c r="E143" s="11" t="s">
        <v>381</v>
      </c>
      <c r="F143" s="11" t="s">
        <v>415</v>
      </c>
      <c r="G143">
        <v>0</v>
      </c>
      <c r="H143">
        <v>80</v>
      </c>
      <c r="I143">
        <v>200</v>
      </c>
    </row>
    <row r="144" spans="1:9" x14ac:dyDescent="0.25">
      <c r="A144" s="11" t="s">
        <v>356</v>
      </c>
      <c r="B144" s="12">
        <v>0.74123842592592593</v>
      </c>
      <c r="C144" s="11" t="s">
        <v>300</v>
      </c>
      <c r="D144" s="11" t="s">
        <v>307</v>
      </c>
      <c r="E144" s="11" t="s">
        <v>389</v>
      </c>
      <c r="F144" s="11" t="s">
        <v>383</v>
      </c>
      <c r="G144">
        <v>0</v>
      </c>
      <c r="H144">
        <v>17</v>
      </c>
      <c r="I144">
        <v>280</v>
      </c>
    </row>
    <row r="145" spans="1:9" x14ac:dyDescent="0.25">
      <c r="A145" s="11" t="s">
        <v>356</v>
      </c>
      <c r="B145" s="12">
        <v>0.6103587962962963</v>
      </c>
      <c r="C145" s="11" t="s">
        <v>300</v>
      </c>
      <c r="D145" s="11" t="s">
        <v>307</v>
      </c>
      <c r="E145" s="11" t="s">
        <v>389</v>
      </c>
      <c r="F145" s="11" t="s">
        <v>392</v>
      </c>
      <c r="G145">
        <v>0</v>
      </c>
      <c r="H145">
        <v>30</v>
      </c>
      <c r="I145">
        <v>297</v>
      </c>
    </row>
    <row r="146" spans="1:9" x14ac:dyDescent="0.25">
      <c r="A146" s="11" t="s">
        <v>356</v>
      </c>
      <c r="B146" s="12">
        <v>0.59005787037037039</v>
      </c>
      <c r="C146" s="11" t="s">
        <v>300</v>
      </c>
      <c r="D146" s="11" t="s">
        <v>307</v>
      </c>
      <c r="E146" s="11" t="s">
        <v>389</v>
      </c>
      <c r="F146" s="11" t="s">
        <v>383</v>
      </c>
      <c r="G146">
        <v>0</v>
      </c>
      <c r="H146">
        <v>11</v>
      </c>
      <c r="I146">
        <v>327</v>
      </c>
    </row>
    <row r="147" spans="1:9" x14ac:dyDescent="0.25">
      <c r="A147" s="11" t="s">
        <v>356</v>
      </c>
      <c r="B147" s="12">
        <v>0.47627314814814814</v>
      </c>
      <c r="C147" s="11" t="s">
        <v>300</v>
      </c>
      <c r="D147" s="11" t="s">
        <v>307</v>
      </c>
      <c r="E147" s="11" t="s">
        <v>389</v>
      </c>
      <c r="F147" s="11" t="s">
        <v>383</v>
      </c>
      <c r="G147">
        <v>0</v>
      </c>
      <c r="H147">
        <v>17</v>
      </c>
      <c r="I147">
        <v>338</v>
      </c>
    </row>
    <row r="148" spans="1:9" x14ac:dyDescent="0.25">
      <c r="A148" s="11" t="s">
        <v>356</v>
      </c>
      <c r="B148" s="12">
        <v>0.44239583333333332</v>
      </c>
      <c r="C148" s="11" t="s">
        <v>300</v>
      </c>
      <c r="D148" s="11" t="s">
        <v>307</v>
      </c>
      <c r="E148" s="11" t="s">
        <v>381</v>
      </c>
      <c r="F148" s="11" t="s">
        <v>385</v>
      </c>
      <c r="G148">
        <v>0</v>
      </c>
      <c r="H148">
        <v>25</v>
      </c>
      <c r="I148">
        <v>355</v>
      </c>
    </row>
    <row r="149" spans="1:9" x14ac:dyDescent="0.25">
      <c r="A149" s="11" t="s">
        <v>356</v>
      </c>
      <c r="B149" s="12">
        <v>0.44082175925925926</v>
      </c>
      <c r="C149" s="11" t="s">
        <v>300</v>
      </c>
      <c r="D149" s="11" t="s">
        <v>307</v>
      </c>
      <c r="E149" s="11" t="s">
        <v>388</v>
      </c>
      <c r="F149" s="11" t="s">
        <v>409</v>
      </c>
      <c r="G149">
        <v>0</v>
      </c>
      <c r="H149">
        <v>30</v>
      </c>
      <c r="I149">
        <v>380</v>
      </c>
    </row>
    <row r="150" spans="1:9" x14ac:dyDescent="0.25">
      <c r="A150" s="11" t="s">
        <v>357</v>
      </c>
      <c r="B150" s="12">
        <v>0.81094907407407413</v>
      </c>
      <c r="C150" s="11" t="s">
        <v>300</v>
      </c>
      <c r="D150" s="11" t="s">
        <v>306</v>
      </c>
      <c r="E150" s="11" t="s">
        <v>387</v>
      </c>
      <c r="F150" s="11" t="s">
        <v>408</v>
      </c>
      <c r="G150">
        <v>0</v>
      </c>
      <c r="H150">
        <v>40</v>
      </c>
      <c r="I150">
        <v>410</v>
      </c>
    </row>
    <row r="151" spans="1:9" x14ac:dyDescent="0.25">
      <c r="A151" s="11" t="s">
        <v>357</v>
      </c>
      <c r="B151" s="12">
        <v>0.65675925925925926</v>
      </c>
      <c r="C151" s="11" t="s">
        <v>300</v>
      </c>
      <c r="D151" s="11" t="s">
        <v>306</v>
      </c>
      <c r="E151" s="11" t="s">
        <v>389</v>
      </c>
      <c r="F151" s="11" t="s">
        <v>395</v>
      </c>
      <c r="G151">
        <v>0</v>
      </c>
      <c r="H151">
        <v>30</v>
      </c>
      <c r="I151">
        <v>450</v>
      </c>
    </row>
    <row r="152" spans="1:9" x14ac:dyDescent="0.25">
      <c r="A152" s="11" t="s">
        <v>357</v>
      </c>
      <c r="B152" s="12">
        <v>0.65342592592592597</v>
      </c>
      <c r="C152" s="11" t="s">
        <v>300</v>
      </c>
      <c r="D152" s="11" t="s">
        <v>306</v>
      </c>
      <c r="E152" s="11" t="s">
        <v>389</v>
      </c>
      <c r="F152" s="11" t="s">
        <v>383</v>
      </c>
      <c r="G152">
        <v>0</v>
      </c>
      <c r="H152">
        <v>17</v>
      </c>
      <c r="I152">
        <v>480</v>
      </c>
    </row>
    <row r="153" spans="1:9" x14ac:dyDescent="0.25">
      <c r="A153" s="11" t="s">
        <v>357</v>
      </c>
      <c r="B153" s="12">
        <v>0.61050925925925925</v>
      </c>
      <c r="C153" s="11" t="s">
        <v>300</v>
      </c>
      <c r="D153" s="11" t="s">
        <v>306</v>
      </c>
      <c r="E153" s="11" t="s">
        <v>388</v>
      </c>
      <c r="F153" s="11" t="s">
        <v>409</v>
      </c>
      <c r="G153">
        <v>0</v>
      </c>
      <c r="H153">
        <v>80</v>
      </c>
      <c r="I153">
        <v>497</v>
      </c>
    </row>
    <row r="154" spans="1:9" x14ac:dyDescent="0.25">
      <c r="A154" s="11" t="s">
        <v>357</v>
      </c>
      <c r="B154" s="12">
        <v>0.45121527777777776</v>
      </c>
      <c r="C154" s="11" t="s">
        <v>300</v>
      </c>
      <c r="D154" s="11" t="s">
        <v>306</v>
      </c>
      <c r="E154" s="11" t="s">
        <v>387</v>
      </c>
      <c r="F154" s="11" t="s">
        <v>406</v>
      </c>
      <c r="G154">
        <v>0</v>
      </c>
      <c r="H154">
        <v>100</v>
      </c>
      <c r="I154">
        <v>577</v>
      </c>
    </row>
    <row r="155" spans="1:9" x14ac:dyDescent="0.25">
      <c r="A155" s="11" t="s">
        <v>357</v>
      </c>
      <c r="B155" s="12">
        <v>0.44967592592592592</v>
      </c>
      <c r="C155" s="11" t="s">
        <v>300</v>
      </c>
      <c r="D155" s="11" t="s">
        <v>306</v>
      </c>
      <c r="E155" s="11" t="s">
        <v>387</v>
      </c>
      <c r="F155" s="11" t="s">
        <v>406</v>
      </c>
      <c r="G155">
        <v>0</v>
      </c>
      <c r="H155">
        <v>100</v>
      </c>
      <c r="I155">
        <v>677</v>
      </c>
    </row>
    <row r="156" spans="1:9" x14ac:dyDescent="0.25">
      <c r="A156" s="11" t="s">
        <v>357</v>
      </c>
      <c r="B156" s="12">
        <v>0.44903935185185184</v>
      </c>
      <c r="C156" s="11" t="s">
        <v>300</v>
      </c>
      <c r="D156" s="11" t="s">
        <v>306</v>
      </c>
      <c r="E156" s="11" t="s">
        <v>381</v>
      </c>
      <c r="F156" s="11" t="s">
        <v>385</v>
      </c>
      <c r="G156">
        <v>0</v>
      </c>
      <c r="H156">
        <v>30</v>
      </c>
      <c r="I156">
        <v>777</v>
      </c>
    </row>
    <row r="157" spans="1:9" x14ac:dyDescent="0.25">
      <c r="A157" s="11" t="s">
        <v>357</v>
      </c>
      <c r="B157" s="12">
        <v>0.44420138888888888</v>
      </c>
      <c r="C157" s="11" t="s">
        <v>300</v>
      </c>
      <c r="D157" s="11" t="s">
        <v>306</v>
      </c>
      <c r="E157" s="11" t="s">
        <v>387</v>
      </c>
      <c r="F157" s="11" t="s">
        <v>406</v>
      </c>
      <c r="G157">
        <v>0</v>
      </c>
      <c r="H157">
        <v>100</v>
      </c>
      <c r="I157">
        <v>807</v>
      </c>
    </row>
    <row r="158" spans="1:9" x14ac:dyDescent="0.25">
      <c r="A158" s="11" t="s">
        <v>358</v>
      </c>
      <c r="B158" s="12">
        <v>0.90690972222222221</v>
      </c>
      <c r="C158" s="11" t="s">
        <v>300</v>
      </c>
      <c r="D158" s="11" t="s">
        <v>305</v>
      </c>
      <c r="E158" s="11" t="s">
        <v>387</v>
      </c>
      <c r="F158" s="11" t="s">
        <v>406</v>
      </c>
      <c r="G158">
        <v>0</v>
      </c>
      <c r="H158">
        <v>100</v>
      </c>
      <c r="I158">
        <v>907</v>
      </c>
    </row>
    <row r="159" spans="1:9" x14ac:dyDescent="0.25">
      <c r="A159" s="11" t="s">
        <v>358</v>
      </c>
      <c r="B159" s="12">
        <v>0.90043981481481483</v>
      </c>
      <c r="C159" s="11" t="s">
        <v>300</v>
      </c>
      <c r="D159" s="11" t="s">
        <v>305</v>
      </c>
      <c r="E159" s="11" t="s">
        <v>384</v>
      </c>
      <c r="F159" s="11" t="s">
        <v>410</v>
      </c>
      <c r="G159">
        <v>1000</v>
      </c>
      <c r="H159">
        <v>0</v>
      </c>
      <c r="I159">
        <v>1007</v>
      </c>
    </row>
    <row r="160" spans="1:9" x14ac:dyDescent="0.25">
      <c r="A160" s="11" t="s">
        <v>358</v>
      </c>
      <c r="B160" s="12">
        <v>0.42649305555555556</v>
      </c>
      <c r="C160" s="11" t="s">
        <v>300</v>
      </c>
      <c r="D160" s="11" t="s">
        <v>305</v>
      </c>
      <c r="E160" s="11" t="s">
        <v>389</v>
      </c>
      <c r="F160" s="11" t="s">
        <v>383</v>
      </c>
      <c r="G160">
        <v>0</v>
      </c>
      <c r="H160">
        <v>6</v>
      </c>
      <c r="I160">
        <v>7</v>
      </c>
    </row>
    <row r="161" spans="1:9" x14ac:dyDescent="0.25">
      <c r="A161" s="11" t="s">
        <v>359</v>
      </c>
      <c r="B161" s="12">
        <v>0.80884259259259261</v>
      </c>
      <c r="C161" s="11" t="s">
        <v>300</v>
      </c>
      <c r="D161" s="11" t="s">
        <v>311</v>
      </c>
      <c r="E161" s="11" t="s">
        <v>381</v>
      </c>
      <c r="F161" s="11" t="s">
        <v>415</v>
      </c>
      <c r="G161">
        <v>0</v>
      </c>
      <c r="H161">
        <v>65</v>
      </c>
      <c r="I161">
        <v>13</v>
      </c>
    </row>
    <row r="162" spans="1:9" x14ac:dyDescent="0.25">
      <c r="A162" s="11" t="s">
        <v>359</v>
      </c>
      <c r="B162" s="12">
        <v>0.62921296296296292</v>
      </c>
      <c r="C162" s="11" t="s">
        <v>300</v>
      </c>
      <c r="D162" s="11" t="s">
        <v>311</v>
      </c>
      <c r="E162" s="11" t="s">
        <v>389</v>
      </c>
      <c r="F162" s="11" t="s">
        <v>383</v>
      </c>
      <c r="G162">
        <v>0</v>
      </c>
      <c r="H162">
        <v>17</v>
      </c>
      <c r="I162">
        <v>78</v>
      </c>
    </row>
    <row r="163" spans="1:9" x14ac:dyDescent="0.25">
      <c r="A163" s="11" t="s">
        <v>360</v>
      </c>
      <c r="B163" s="12">
        <v>0.77747685185185189</v>
      </c>
      <c r="C163" s="11" t="s">
        <v>300</v>
      </c>
      <c r="D163" s="11" t="s">
        <v>310</v>
      </c>
      <c r="E163" s="11" t="s">
        <v>384</v>
      </c>
      <c r="F163" s="11" t="s">
        <v>410</v>
      </c>
      <c r="G163">
        <v>80</v>
      </c>
      <c r="H163">
        <v>0</v>
      </c>
      <c r="I163">
        <v>95</v>
      </c>
    </row>
    <row r="164" spans="1:9" x14ac:dyDescent="0.25">
      <c r="A164" s="11" t="s">
        <v>360</v>
      </c>
      <c r="B164" s="12">
        <v>0.64332175925925927</v>
      </c>
      <c r="C164" s="11" t="s">
        <v>300</v>
      </c>
      <c r="D164" s="11" t="s">
        <v>310</v>
      </c>
      <c r="E164" s="11" t="s">
        <v>389</v>
      </c>
      <c r="F164" s="11" t="s">
        <v>383</v>
      </c>
      <c r="G164">
        <v>0</v>
      </c>
      <c r="H164">
        <v>11</v>
      </c>
      <c r="I164">
        <v>15</v>
      </c>
    </row>
    <row r="165" spans="1:9" x14ac:dyDescent="0.25">
      <c r="A165" s="11" t="s">
        <v>360</v>
      </c>
      <c r="B165" s="12">
        <v>0.45695601851851853</v>
      </c>
      <c r="C165" s="11" t="s">
        <v>300</v>
      </c>
      <c r="D165" s="11" t="s">
        <v>310</v>
      </c>
      <c r="E165" s="11" t="s">
        <v>381</v>
      </c>
      <c r="F165" s="11" t="s">
        <v>385</v>
      </c>
      <c r="G165">
        <v>0</v>
      </c>
      <c r="H165">
        <v>90</v>
      </c>
      <c r="I165">
        <v>26</v>
      </c>
    </row>
    <row r="166" spans="1:9" x14ac:dyDescent="0.25">
      <c r="A166" s="11" t="s">
        <v>360</v>
      </c>
      <c r="B166" s="12">
        <v>0.43782407407407409</v>
      </c>
      <c r="C166" s="11" t="s">
        <v>300</v>
      </c>
      <c r="D166" s="11" t="s">
        <v>310</v>
      </c>
      <c r="E166" s="11" t="s">
        <v>384</v>
      </c>
      <c r="F166" s="11" t="s">
        <v>406</v>
      </c>
      <c r="G166">
        <v>100</v>
      </c>
      <c r="H166">
        <v>0</v>
      </c>
      <c r="I166">
        <v>116</v>
      </c>
    </row>
    <row r="167" spans="1:9" x14ac:dyDescent="0.25">
      <c r="A167" s="11" t="s">
        <v>361</v>
      </c>
      <c r="B167" s="12">
        <v>0.72274305555555551</v>
      </c>
      <c r="C167" s="11" t="s">
        <v>300</v>
      </c>
      <c r="D167" s="11" t="s">
        <v>309</v>
      </c>
      <c r="E167" s="11" t="s">
        <v>389</v>
      </c>
      <c r="F167" s="11" t="s">
        <v>383</v>
      </c>
      <c r="G167">
        <v>0</v>
      </c>
      <c r="H167">
        <v>17</v>
      </c>
      <c r="I167">
        <v>16</v>
      </c>
    </row>
    <row r="168" spans="1:9" x14ac:dyDescent="0.25">
      <c r="A168" s="11" t="s">
        <v>361</v>
      </c>
      <c r="B168" s="12">
        <v>0.4506134259259259</v>
      </c>
      <c r="C168" s="11" t="s">
        <v>300</v>
      </c>
      <c r="D168" s="11" t="s">
        <v>309</v>
      </c>
      <c r="E168" s="11" t="s">
        <v>389</v>
      </c>
      <c r="F168" s="11" t="s">
        <v>392</v>
      </c>
      <c r="G168">
        <v>0</v>
      </c>
      <c r="H168">
        <v>30</v>
      </c>
      <c r="I168">
        <v>33</v>
      </c>
    </row>
    <row r="169" spans="1:9" x14ac:dyDescent="0.25">
      <c r="A169" s="11" t="s">
        <v>361</v>
      </c>
      <c r="B169" s="12">
        <v>0.43736111111111109</v>
      </c>
      <c r="C169" s="11" t="s">
        <v>300</v>
      </c>
      <c r="D169" s="11" t="s">
        <v>309</v>
      </c>
      <c r="E169" s="11" t="s">
        <v>381</v>
      </c>
      <c r="F169" s="11" t="s">
        <v>385</v>
      </c>
      <c r="G169">
        <v>0</v>
      </c>
      <c r="H169">
        <v>65</v>
      </c>
      <c r="I169">
        <v>63</v>
      </c>
    </row>
    <row r="170" spans="1:9" x14ac:dyDescent="0.25">
      <c r="A170" s="11" t="s">
        <v>362</v>
      </c>
      <c r="B170" s="12">
        <v>0.80934027777777773</v>
      </c>
      <c r="C170" s="11" t="s">
        <v>300</v>
      </c>
      <c r="D170" s="11" t="s">
        <v>308</v>
      </c>
      <c r="E170" s="11" t="s">
        <v>384</v>
      </c>
      <c r="F170" s="11" t="s">
        <v>393</v>
      </c>
      <c r="G170">
        <v>100</v>
      </c>
      <c r="H170">
        <v>0</v>
      </c>
      <c r="I170">
        <v>128</v>
      </c>
    </row>
    <row r="171" spans="1:9" x14ac:dyDescent="0.25">
      <c r="A171" s="11" t="s">
        <v>362</v>
      </c>
      <c r="B171" s="12">
        <v>0.44517361111111109</v>
      </c>
      <c r="C171" s="11" t="s">
        <v>300</v>
      </c>
      <c r="D171" s="11" t="s">
        <v>308</v>
      </c>
      <c r="E171" s="11" t="s">
        <v>389</v>
      </c>
      <c r="F171" s="11" t="s">
        <v>392</v>
      </c>
      <c r="G171">
        <v>0</v>
      </c>
      <c r="H171">
        <v>30</v>
      </c>
      <c r="I171">
        <v>28</v>
      </c>
    </row>
    <row r="172" spans="1:9" x14ac:dyDescent="0.25">
      <c r="A172" s="11" t="s">
        <v>363</v>
      </c>
      <c r="B172" s="12">
        <v>0.48901620370370369</v>
      </c>
      <c r="C172" s="11" t="s">
        <v>300</v>
      </c>
      <c r="D172" s="11" t="s">
        <v>307</v>
      </c>
      <c r="E172" s="11" t="s">
        <v>389</v>
      </c>
      <c r="F172" s="11" t="s">
        <v>392</v>
      </c>
      <c r="G172">
        <v>0</v>
      </c>
      <c r="H172">
        <v>30</v>
      </c>
      <c r="I172">
        <v>58</v>
      </c>
    </row>
    <row r="173" spans="1:9" x14ac:dyDescent="0.25">
      <c r="A173" s="11" t="s">
        <v>363</v>
      </c>
      <c r="B173" s="12">
        <v>0.44157407407407406</v>
      </c>
      <c r="C173" s="11" t="s">
        <v>300</v>
      </c>
      <c r="D173" s="11" t="s">
        <v>307</v>
      </c>
      <c r="E173" s="11" t="s">
        <v>381</v>
      </c>
      <c r="F173" s="11" t="s">
        <v>385</v>
      </c>
      <c r="G173">
        <v>0</v>
      </c>
      <c r="H173">
        <v>25</v>
      </c>
      <c r="I173">
        <v>88</v>
      </c>
    </row>
    <row r="174" spans="1:9" x14ac:dyDescent="0.25">
      <c r="A174" s="11" t="s">
        <v>364</v>
      </c>
      <c r="B174" s="12">
        <v>0.80756944444444445</v>
      </c>
      <c r="C174" s="11" t="s">
        <v>300</v>
      </c>
      <c r="D174" s="11" t="s">
        <v>306</v>
      </c>
      <c r="E174" s="11" t="s">
        <v>388</v>
      </c>
      <c r="F174" s="11" t="s">
        <v>409</v>
      </c>
      <c r="G174">
        <v>0</v>
      </c>
      <c r="H174">
        <v>10</v>
      </c>
      <c r="I174">
        <v>113</v>
      </c>
    </row>
    <row r="175" spans="1:9" x14ac:dyDescent="0.25">
      <c r="A175" s="11" t="s">
        <v>364</v>
      </c>
      <c r="B175" s="12">
        <v>0.68145833333333339</v>
      </c>
      <c r="C175" s="11" t="s">
        <v>300</v>
      </c>
      <c r="D175" s="11" t="s">
        <v>306</v>
      </c>
      <c r="E175" s="11" t="s">
        <v>388</v>
      </c>
      <c r="F175" s="11" t="s">
        <v>409</v>
      </c>
      <c r="G175">
        <v>0</v>
      </c>
      <c r="H175">
        <v>25</v>
      </c>
      <c r="I175">
        <v>123</v>
      </c>
    </row>
    <row r="176" spans="1:9" x14ac:dyDescent="0.25">
      <c r="A176" s="11" t="s">
        <v>364</v>
      </c>
      <c r="B176" s="12">
        <v>0.53835648148148152</v>
      </c>
      <c r="C176" s="11" t="s">
        <v>300</v>
      </c>
      <c r="D176" s="11" t="s">
        <v>306</v>
      </c>
      <c r="E176" s="11" t="s">
        <v>381</v>
      </c>
      <c r="F176" s="11" t="s">
        <v>385</v>
      </c>
      <c r="G176">
        <v>0</v>
      </c>
      <c r="H176">
        <v>65</v>
      </c>
      <c r="I176">
        <v>148</v>
      </c>
    </row>
    <row r="177" spans="1:9" x14ac:dyDescent="0.25">
      <c r="A177" s="11" t="s">
        <v>364</v>
      </c>
      <c r="B177" s="12">
        <v>0.48601851851851852</v>
      </c>
      <c r="C177" s="11" t="s">
        <v>300</v>
      </c>
      <c r="D177" s="11" t="s">
        <v>306</v>
      </c>
      <c r="E177" s="11" t="s">
        <v>389</v>
      </c>
      <c r="F177" s="11" t="s">
        <v>392</v>
      </c>
      <c r="G177">
        <v>0</v>
      </c>
      <c r="H177">
        <v>30</v>
      </c>
      <c r="I177">
        <v>213</v>
      </c>
    </row>
    <row r="178" spans="1:9" x14ac:dyDescent="0.25">
      <c r="A178" s="11" t="s">
        <v>365</v>
      </c>
      <c r="B178" s="12">
        <v>0.82171296296296292</v>
      </c>
      <c r="C178" s="11" t="s">
        <v>300</v>
      </c>
      <c r="D178" s="11" t="s">
        <v>305</v>
      </c>
      <c r="E178" s="11" t="s">
        <v>388</v>
      </c>
      <c r="F178" s="11" t="s">
        <v>409</v>
      </c>
      <c r="G178">
        <v>0</v>
      </c>
      <c r="H178">
        <v>45</v>
      </c>
      <c r="I178">
        <v>243</v>
      </c>
    </row>
    <row r="179" spans="1:9" x14ac:dyDescent="0.25">
      <c r="A179" s="11" t="s">
        <v>365</v>
      </c>
      <c r="B179" s="12">
        <v>0.67098379629629634</v>
      </c>
      <c r="C179" s="11" t="s">
        <v>300</v>
      </c>
      <c r="D179" s="11" t="s">
        <v>305</v>
      </c>
      <c r="E179" s="11" t="s">
        <v>389</v>
      </c>
      <c r="F179" s="11" t="s">
        <v>383</v>
      </c>
      <c r="G179">
        <v>0</v>
      </c>
      <c r="H179">
        <v>11</v>
      </c>
      <c r="I179">
        <v>288</v>
      </c>
    </row>
    <row r="180" spans="1:9" x14ac:dyDescent="0.25">
      <c r="A180" s="11" t="s">
        <v>365</v>
      </c>
      <c r="B180" s="12">
        <v>0.484375</v>
      </c>
      <c r="C180" s="11" t="s">
        <v>300</v>
      </c>
      <c r="D180" s="11" t="s">
        <v>305</v>
      </c>
      <c r="E180" s="11" t="s">
        <v>389</v>
      </c>
      <c r="F180" s="11" t="s">
        <v>392</v>
      </c>
      <c r="G180">
        <v>0</v>
      </c>
      <c r="H180">
        <v>30</v>
      </c>
      <c r="I180">
        <v>299</v>
      </c>
    </row>
    <row r="181" spans="1:9" x14ac:dyDescent="0.25">
      <c r="A181" s="11" t="s">
        <v>365</v>
      </c>
      <c r="B181" s="12">
        <v>0.47082175925925923</v>
      </c>
      <c r="C181" s="11" t="s">
        <v>300</v>
      </c>
      <c r="D181" s="11" t="s">
        <v>305</v>
      </c>
      <c r="E181" s="11" t="s">
        <v>381</v>
      </c>
      <c r="F181" s="11" t="s">
        <v>385</v>
      </c>
      <c r="G181">
        <v>0</v>
      </c>
      <c r="H181">
        <v>25</v>
      </c>
      <c r="I181">
        <v>329</v>
      </c>
    </row>
    <row r="182" spans="1:9" x14ac:dyDescent="0.25">
      <c r="A182" s="11" t="s">
        <v>366</v>
      </c>
      <c r="B182" s="12">
        <v>0.65386574074074078</v>
      </c>
      <c r="C182" s="11" t="s">
        <v>300</v>
      </c>
      <c r="D182" s="11" t="s">
        <v>311</v>
      </c>
      <c r="E182" s="11" t="s">
        <v>387</v>
      </c>
      <c r="F182" s="11" t="s">
        <v>386</v>
      </c>
      <c r="G182">
        <v>0</v>
      </c>
      <c r="H182">
        <v>50</v>
      </c>
      <c r="I182">
        <v>354</v>
      </c>
    </row>
    <row r="183" spans="1:9" x14ac:dyDescent="0.25">
      <c r="A183" s="11" t="s">
        <v>366</v>
      </c>
      <c r="B183" s="12">
        <v>0.64870370370370367</v>
      </c>
      <c r="C183" s="11" t="s">
        <v>300</v>
      </c>
      <c r="D183" s="11" t="s">
        <v>311</v>
      </c>
      <c r="E183" s="11" t="s">
        <v>388</v>
      </c>
      <c r="F183" s="11" t="s">
        <v>414</v>
      </c>
      <c r="G183">
        <v>0</v>
      </c>
      <c r="H183">
        <v>25</v>
      </c>
      <c r="I183">
        <v>404</v>
      </c>
    </row>
    <row r="184" spans="1:9" x14ac:dyDescent="0.25">
      <c r="A184" s="11" t="s">
        <v>366</v>
      </c>
      <c r="B184" s="12">
        <v>0.64763888888888888</v>
      </c>
      <c r="C184" s="11" t="s">
        <v>300</v>
      </c>
      <c r="D184" s="11" t="s">
        <v>311</v>
      </c>
      <c r="E184" s="11" t="s">
        <v>388</v>
      </c>
      <c r="F184" s="11" t="s">
        <v>412</v>
      </c>
      <c r="G184">
        <v>0</v>
      </c>
      <c r="H184">
        <v>40</v>
      </c>
      <c r="I184">
        <v>429</v>
      </c>
    </row>
    <row r="185" spans="1:9" x14ac:dyDescent="0.25">
      <c r="A185" s="11" t="s">
        <v>366</v>
      </c>
      <c r="B185" s="12">
        <v>0.49440972222222224</v>
      </c>
      <c r="C185" s="11" t="s">
        <v>300</v>
      </c>
      <c r="D185" s="11" t="s">
        <v>311</v>
      </c>
      <c r="E185" s="11" t="s">
        <v>381</v>
      </c>
      <c r="F185" s="11" t="s">
        <v>415</v>
      </c>
      <c r="G185">
        <v>0</v>
      </c>
      <c r="H185">
        <v>30</v>
      </c>
      <c r="I185">
        <v>469</v>
      </c>
    </row>
    <row r="186" spans="1:9" x14ac:dyDescent="0.25">
      <c r="A186" s="11" t="s">
        <v>366</v>
      </c>
      <c r="B186" s="12">
        <v>0.46309027777777778</v>
      </c>
      <c r="C186" s="11" t="s">
        <v>300</v>
      </c>
      <c r="D186" s="11" t="s">
        <v>311</v>
      </c>
      <c r="E186" s="11" t="s">
        <v>389</v>
      </c>
      <c r="F186" s="11" t="s">
        <v>392</v>
      </c>
      <c r="G186">
        <v>0</v>
      </c>
      <c r="H186">
        <v>30</v>
      </c>
      <c r="I186">
        <v>499</v>
      </c>
    </row>
    <row r="187" spans="1:9" x14ac:dyDescent="0.25">
      <c r="A187" s="11" t="s">
        <v>366</v>
      </c>
      <c r="B187" s="12">
        <v>0.45895833333333336</v>
      </c>
      <c r="C187" s="11" t="s">
        <v>300</v>
      </c>
      <c r="D187" s="11" t="s">
        <v>311</v>
      </c>
      <c r="E187" s="11" t="s">
        <v>381</v>
      </c>
      <c r="F187" s="11" t="s">
        <v>385</v>
      </c>
      <c r="G187">
        <v>0</v>
      </c>
      <c r="H187">
        <v>25</v>
      </c>
      <c r="I187">
        <v>529</v>
      </c>
    </row>
    <row r="188" spans="1:9" x14ac:dyDescent="0.25">
      <c r="A188" s="11" t="s">
        <v>367</v>
      </c>
      <c r="B188" s="12">
        <v>0.80339120370370365</v>
      </c>
      <c r="C188" s="11" t="s">
        <v>300</v>
      </c>
      <c r="D188" s="11" t="s">
        <v>310</v>
      </c>
      <c r="E188" s="11" t="s">
        <v>388</v>
      </c>
      <c r="F188" s="11" t="s">
        <v>409</v>
      </c>
      <c r="G188">
        <v>0</v>
      </c>
      <c r="H188">
        <v>15</v>
      </c>
      <c r="I188">
        <v>554</v>
      </c>
    </row>
    <row r="189" spans="1:9" x14ac:dyDescent="0.25">
      <c r="A189" s="11" t="s">
        <v>367</v>
      </c>
      <c r="B189" s="12">
        <v>0.80116898148148152</v>
      </c>
      <c r="C189" s="11" t="s">
        <v>300</v>
      </c>
      <c r="D189" s="11" t="s">
        <v>310</v>
      </c>
      <c r="E189" s="11" t="s">
        <v>388</v>
      </c>
      <c r="F189" s="11" t="s">
        <v>409</v>
      </c>
      <c r="G189">
        <v>0</v>
      </c>
      <c r="H189">
        <v>15</v>
      </c>
      <c r="I189">
        <v>569</v>
      </c>
    </row>
    <row r="190" spans="1:9" x14ac:dyDescent="0.25">
      <c r="A190" s="11" t="s">
        <v>367</v>
      </c>
      <c r="B190" s="12">
        <v>0.67515046296296299</v>
      </c>
      <c r="C190" s="11" t="s">
        <v>300</v>
      </c>
      <c r="D190" s="11" t="s">
        <v>310</v>
      </c>
      <c r="E190" s="11" t="s">
        <v>388</v>
      </c>
      <c r="F190" s="11" t="s">
        <v>404</v>
      </c>
      <c r="G190">
        <v>0</v>
      </c>
      <c r="H190">
        <v>50</v>
      </c>
      <c r="I190">
        <v>584</v>
      </c>
    </row>
    <row r="191" spans="1:9" x14ac:dyDescent="0.25">
      <c r="A191" s="11" t="s">
        <v>367</v>
      </c>
      <c r="B191" s="12">
        <v>0.59817129629629628</v>
      </c>
      <c r="C191" s="11" t="s">
        <v>300</v>
      </c>
      <c r="D191" s="11" t="s">
        <v>310</v>
      </c>
      <c r="E191" s="11" t="s">
        <v>389</v>
      </c>
      <c r="F191" s="11" t="s">
        <v>392</v>
      </c>
      <c r="G191">
        <v>0</v>
      </c>
      <c r="H191">
        <v>30</v>
      </c>
      <c r="I191">
        <v>634</v>
      </c>
    </row>
    <row r="192" spans="1:9" x14ac:dyDescent="0.25">
      <c r="A192" s="11" t="s">
        <v>367</v>
      </c>
      <c r="B192" s="12">
        <v>0.58751157407407406</v>
      </c>
      <c r="C192" s="11" t="s">
        <v>300</v>
      </c>
      <c r="D192" s="11" t="s">
        <v>310</v>
      </c>
      <c r="E192" s="11" t="s">
        <v>9</v>
      </c>
      <c r="F192" s="11" t="s">
        <v>382</v>
      </c>
      <c r="G192">
        <v>0</v>
      </c>
      <c r="H192">
        <v>34</v>
      </c>
      <c r="I192">
        <v>664</v>
      </c>
    </row>
    <row r="193" spans="1:9" x14ac:dyDescent="0.25">
      <c r="A193" s="11" t="s">
        <v>367</v>
      </c>
      <c r="B193" s="12">
        <v>0.58751157407407406</v>
      </c>
      <c r="C193" s="11" t="s">
        <v>300</v>
      </c>
      <c r="D193" s="11" t="s">
        <v>310</v>
      </c>
      <c r="E193" s="11" t="s">
        <v>389</v>
      </c>
      <c r="F193" s="11" t="s">
        <v>413</v>
      </c>
      <c r="G193">
        <v>0</v>
      </c>
      <c r="H193">
        <v>4400</v>
      </c>
      <c r="I193">
        <v>698</v>
      </c>
    </row>
    <row r="194" spans="1:9" x14ac:dyDescent="0.25">
      <c r="A194" s="11" t="s">
        <v>367</v>
      </c>
      <c r="B194" s="12">
        <v>0.57975694444444448</v>
      </c>
      <c r="C194" s="11" t="s">
        <v>300</v>
      </c>
      <c r="D194" s="11" t="s">
        <v>310</v>
      </c>
      <c r="E194" s="11" t="s">
        <v>389</v>
      </c>
      <c r="F194" s="11" t="s">
        <v>383</v>
      </c>
      <c r="G194">
        <v>0</v>
      </c>
      <c r="H194">
        <v>11</v>
      </c>
      <c r="I194">
        <v>5098</v>
      </c>
    </row>
    <row r="195" spans="1:9" x14ac:dyDescent="0.25">
      <c r="A195" s="11" t="s">
        <v>367</v>
      </c>
      <c r="B195" s="12">
        <v>0.4929513888888889</v>
      </c>
      <c r="C195" s="11" t="s">
        <v>300</v>
      </c>
      <c r="D195" s="11" t="s">
        <v>310</v>
      </c>
      <c r="E195" s="11" t="s">
        <v>384</v>
      </c>
      <c r="F195" s="11" t="s">
        <v>410</v>
      </c>
      <c r="G195">
        <v>4000</v>
      </c>
      <c r="H195">
        <v>0</v>
      </c>
      <c r="I195">
        <v>5109</v>
      </c>
    </row>
    <row r="196" spans="1:9" x14ac:dyDescent="0.25">
      <c r="A196" s="11" t="s">
        <v>367</v>
      </c>
      <c r="B196" s="12">
        <v>0.47017361111111111</v>
      </c>
      <c r="C196" s="11" t="s">
        <v>300</v>
      </c>
      <c r="D196" s="11" t="s">
        <v>310</v>
      </c>
      <c r="E196" s="11" t="s">
        <v>384</v>
      </c>
      <c r="F196" s="11" t="s">
        <v>406</v>
      </c>
      <c r="G196">
        <v>100</v>
      </c>
      <c r="H196">
        <v>0</v>
      </c>
      <c r="I196">
        <v>1109</v>
      </c>
    </row>
    <row r="197" spans="1:9" x14ac:dyDescent="0.25">
      <c r="A197" s="11" t="s">
        <v>367</v>
      </c>
      <c r="B197" s="12">
        <v>0.46934027777777776</v>
      </c>
      <c r="C197" s="11" t="s">
        <v>300</v>
      </c>
      <c r="D197" s="11" t="s">
        <v>310</v>
      </c>
      <c r="E197" s="11" t="s">
        <v>384</v>
      </c>
      <c r="F197" s="11" t="s">
        <v>406</v>
      </c>
      <c r="G197">
        <v>1000</v>
      </c>
      <c r="H197">
        <v>0</v>
      </c>
      <c r="I197">
        <v>1009</v>
      </c>
    </row>
    <row r="198" spans="1:9" x14ac:dyDescent="0.25">
      <c r="A198" s="11" t="s">
        <v>368</v>
      </c>
      <c r="B198" s="12">
        <v>0.45792824074074073</v>
      </c>
      <c r="C198" s="11" t="s">
        <v>300</v>
      </c>
      <c r="D198" s="11" t="s">
        <v>309</v>
      </c>
      <c r="E198" s="11" t="s">
        <v>389</v>
      </c>
      <c r="F198" s="11" t="s">
        <v>392</v>
      </c>
      <c r="G198">
        <v>0</v>
      </c>
      <c r="H198">
        <v>30</v>
      </c>
      <c r="I198">
        <v>9</v>
      </c>
    </row>
    <row r="199" spans="1:9" x14ac:dyDescent="0.25">
      <c r="A199" s="11" t="s">
        <v>369</v>
      </c>
      <c r="B199" s="12">
        <v>0.64474537037037039</v>
      </c>
      <c r="C199" s="11" t="s">
        <v>300</v>
      </c>
      <c r="D199" s="11" t="s">
        <v>308</v>
      </c>
      <c r="E199" s="11" t="s">
        <v>389</v>
      </c>
      <c r="F199" s="11" t="s">
        <v>392</v>
      </c>
      <c r="G199">
        <v>0</v>
      </c>
      <c r="H199">
        <v>30</v>
      </c>
      <c r="I199">
        <v>39</v>
      </c>
    </row>
    <row r="200" spans="1:9" x14ac:dyDescent="0.25">
      <c r="A200" s="11" t="s">
        <v>369</v>
      </c>
      <c r="B200" s="12">
        <v>0.63774305555555555</v>
      </c>
      <c r="C200" s="11" t="s">
        <v>300</v>
      </c>
      <c r="D200" s="11" t="s">
        <v>308</v>
      </c>
      <c r="E200" s="11" t="s">
        <v>384</v>
      </c>
      <c r="F200" s="11" t="s">
        <v>406</v>
      </c>
      <c r="G200">
        <v>30</v>
      </c>
      <c r="H200">
        <v>0</v>
      </c>
      <c r="I200">
        <v>69</v>
      </c>
    </row>
    <row r="201" spans="1:9" x14ac:dyDescent="0.25">
      <c r="A201" s="11" t="s">
        <v>369</v>
      </c>
      <c r="B201" s="12">
        <v>0.63559027777777777</v>
      </c>
      <c r="C201" s="11" t="s">
        <v>300</v>
      </c>
      <c r="D201" s="11" t="s">
        <v>308</v>
      </c>
      <c r="E201" s="11" t="s">
        <v>384</v>
      </c>
      <c r="F201" s="11" t="s">
        <v>406</v>
      </c>
      <c r="G201">
        <v>30</v>
      </c>
      <c r="H201">
        <v>0</v>
      </c>
      <c r="I201">
        <v>39</v>
      </c>
    </row>
    <row r="202" spans="1:9" x14ac:dyDescent="0.25">
      <c r="A202" s="11" t="s">
        <v>369</v>
      </c>
      <c r="B202" s="12">
        <v>0.42593750000000002</v>
      </c>
      <c r="C202" s="11" t="s">
        <v>300</v>
      </c>
      <c r="D202" s="11" t="s">
        <v>308</v>
      </c>
      <c r="E202" s="11" t="s">
        <v>381</v>
      </c>
      <c r="F202" s="11" t="s">
        <v>385</v>
      </c>
      <c r="G202">
        <v>0</v>
      </c>
      <c r="H202">
        <v>20</v>
      </c>
      <c r="I202">
        <v>9</v>
      </c>
    </row>
    <row r="203" spans="1:9" x14ac:dyDescent="0.25">
      <c r="A203" s="11" t="s">
        <v>370</v>
      </c>
      <c r="B203" s="12">
        <v>0.88077546296296294</v>
      </c>
      <c r="C203" s="11" t="s">
        <v>300</v>
      </c>
      <c r="D203" s="11" t="s">
        <v>307</v>
      </c>
      <c r="E203" s="11" t="s">
        <v>389</v>
      </c>
      <c r="F203" s="11" t="s">
        <v>392</v>
      </c>
      <c r="G203">
        <v>0</v>
      </c>
      <c r="H203">
        <v>30</v>
      </c>
      <c r="I203">
        <v>29</v>
      </c>
    </row>
    <row r="204" spans="1:9" x14ac:dyDescent="0.25">
      <c r="A204" s="11" t="s">
        <v>370</v>
      </c>
      <c r="B204" s="12">
        <v>0.80487268518518518</v>
      </c>
      <c r="C204" s="11" t="s">
        <v>300</v>
      </c>
      <c r="D204" s="11" t="s">
        <v>307</v>
      </c>
      <c r="E204" s="11" t="s">
        <v>388</v>
      </c>
      <c r="F204" s="11" t="s">
        <v>409</v>
      </c>
      <c r="G204">
        <v>0</v>
      </c>
      <c r="H204">
        <v>80</v>
      </c>
      <c r="I204">
        <v>59</v>
      </c>
    </row>
    <row r="205" spans="1:9" x14ac:dyDescent="0.25">
      <c r="A205" s="11" t="s">
        <v>370</v>
      </c>
      <c r="B205" s="12">
        <v>0.80079861111111106</v>
      </c>
      <c r="C205" s="11" t="s">
        <v>300</v>
      </c>
      <c r="D205" s="11" t="s">
        <v>307</v>
      </c>
      <c r="E205" s="11" t="s">
        <v>384</v>
      </c>
      <c r="F205" s="11" t="s">
        <v>406</v>
      </c>
      <c r="G205">
        <v>100</v>
      </c>
      <c r="H205">
        <v>0</v>
      </c>
      <c r="I205">
        <v>139</v>
      </c>
    </row>
    <row r="206" spans="1:9" x14ac:dyDescent="0.25">
      <c r="A206" s="11" t="s">
        <v>371</v>
      </c>
      <c r="B206" s="12">
        <v>0.67410879629629628</v>
      </c>
      <c r="C206" s="11" t="s">
        <v>300</v>
      </c>
      <c r="D206" s="11" t="s">
        <v>306</v>
      </c>
      <c r="E206" s="11" t="s">
        <v>389</v>
      </c>
      <c r="F206" s="11" t="s">
        <v>392</v>
      </c>
      <c r="G206">
        <v>0</v>
      </c>
      <c r="H206">
        <v>30</v>
      </c>
      <c r="I206">
        <v>39</v>
      </c>
    </row>
    <row r="207" spans="1:9" x14ac:dyDescent="0.25">
      <c r="A207" s="11" t="s">
        <v>371</v>
      </c>
      <c r="B207" s="12">
        <v>0.51479166666666665</v>
      </c>
      <c r="C207" s="11" t="s">
        <v>300</v>
      </c>
      <c r="D207" s="11" t="s">
        <v>306</v>
      </c>
      <c r="E207" s="11" t="s">
        <v>388</v>
      </c>
      <c r="F207" s="11" t="s">
        <v>400</v>
      </c>
      <c r="G207">
        <v>0</v>
      </c>
      <c r="H207">
        <v>15</v>
      </c>
      <c r="I207">
        <v>69</v>
      </c>
    </row>
    <row r="208" spans="1:9" x14ac:dyDescent="0.25">
      <c r="A208" s="11" t="s">
        <v>371</v>
      </c>
      <c r="B208" s="12">
        <v>0.48486111111111113</v>
      </c>
      <c r="C208" s="11" t="s">
        <v>300</v>
      </c>
      <c r="D208" s="11" t="s">
        <v>306</v>
      </c>
      <c r="E208" s="11" t="s">
        <v>381</v>
      </c>
      <c r="F208" s="11" t="s">
        <v>385</v>
      </c>
      <c r="G208">
        <v>0</v>
      </c>
      <c r="H208">
        <v>25</v>
      </c>
      <c r="I208">
        <v>84</v>
      </c>
    </row>
    <row r="209" spans="1:9" x14ac:dyDescent="0.25">
      <c r="A209" s="11" t="s">
        <v>371</v>
      </c>
      <c r="B209" s="12">
        <v>0.47800925925925924</v>
      </c>
      <c r="C209" s="11" t="s">
        <v>300</v>
      </c>
      <c r="D209" s="11" t="s">
        <v>306</v>
      </c>
      <c r="E209" s="11" t="s">
        <v>384</v>
      </c>
      <c r="F209" s="11" t="s">
        <v>406</v>
      </c>
      <c r="G209">
        <v>100</v>
      </c>
      <c r="H209">
        <v>0</v>
      </c>
      <c r="I209">
        <v>109</v>
      </c>
    </row>
    <row r="210" spans="1:9" x14ac:dyDescent="0.25">
      <c r="A210" s="11" t="s">
        <v>372</v>
      </c>
      <c r="B210" s="12">
        <v>0.50160879629629629</v>
      </c>
      <c r="C210" s="11" t="s">
        <v>300</v>
      </c>
      <c r="D210" s="11" t="s">
        <v>305</v>
      </c>
      <c r="E210" s="11" t="s">
        <v>389</v>
      </c>
      <c r="F210" s="11" t="s">
        <v>383</v>
      </c>
      <c r="G210">
        <v>0</v>
      </c>
      <c r="H210">
        <v>3</v>
      </c>
      <c r="I210">
        <v>9</v>
      </c>
    </row>
    <row r="211" spans="1:9" x14ac:dyDescent="0.25">
      <c r="A211" s="11" t="s">
        <v>372</v>
      </c>
      <c r="B211" s="12">
        <v>0.47589120370370369</v>
      </c>
      <c r="C211" s="11" t="s">
        <v>300</v>
      </c>
      <c r="D211" s="11" t="s">
        <v>305</v>
      </c>
      <c r="E211" s="11" t="s">
        <v>389</v>
      </c>
      <c r="F211" s="11" t="s">
        <v>392</v>
      </c>
      <c r="G211">
        <v>0</v>
      </c>
      <c r="H211">
        <v>30</v>
      </c>
      <c r="I211">
        <v>12</v>
      </c>
    </row>
    <row r="212" spans="1:9" x14ac:dyDescent="0.25">
      <c r="A212" s="11" t="s">
        <v>373</v>
      </c>
      <c r="B212" s="12">
        <v>0.43287037037037035</v>
      </c>
      <c r="C212" s="11" t="s">
        <v>300</v>
      </c>
      <c r="D212" s="11" t="s">
        <v>311</v>
      </c>
      <c r="E212" s="11" t="s">
        <v>389</v>
      </c>
      <c r="F212" s="11" t="s">
        <v>392</v>
      </c>
      <c r="G212">
        <v>0</v>
      </c>
      <c r="H212">
        <v>30</v>
      </c>
      <c r="I212">
        <v>42</v>
      </c>
    </row>
    <row r="213" spans="1:9" x14ac:dyDescent="0.25">
      <c r="A213" s="11" t="s">
        <v>374</v>
      </c>
      <c r="B213" s="12">
        <v>0.93309027777777775</v>
      </c>
      <c r="C213" s="11" t="s">
        <v>300</v>
      </c>
      <c r="D213" s="11" t="s">
        <v>310</v>
      </c>
      <c r="E213" s="11" t="s">
        <v>389</v>
      </c>
      <c r="F213" s="11" t="s">
        <v>383</v>
      </c>
      <c r="G213">
        <v>0</v>
      </c>
      <c r="H213">
        <v>11</v>
      </c>
      <c r="I213">
        <v>72</v>
      </c>
    </row>
    <row r="214" spans="1:9" x14ac:dyDescent="0.25">
      <c r="A214" s="11" t="s">
        <v>374</v>
      </c>
      <c r="B214" s="12">
        <v>0.70973379629629629</v>
      </c>
      <c r="C214" s="11" t="s">
        <v>300</v>
      </c>
      <c r="D214" s="11" t="s">
        <v>310</v>
      </c>
      <c r="E214" s="11" t="s">
        <v>388</v>
      </c>
      <c r="F214" s="11" t="s">
        <v>409</v>
      </c>
      <c r="G214">
        <v>0</v>
      </c>
      <c r="H214">
        <v>10</v>
      </c>
      <c r="I214">
        <v>83</v>
      </c>
    </row>
    <row r="215" spans="1:9" x14ac:dyDescent="0.25">
      <c r="A215" s="11" t="s">
        <v>374</v>
      </c>
      <c r="B215" s="12">
        <v>0.70895833333333336</v>
      </c>
      <c r="C215" s="11" t="s">
        <v>300</v>
      </c>
      <c r="D215" s="11" t="s">
        <v>310</v>
      </c>
      <c r="E215" s="11" t="s">
        <v>388</v>
      </c>
      <c r="F215" s="11" t="s">
        <v>409</v>
      </c>
      <c r="G215">
        <v>0</v>
      </c>
      <c r="H215">
        <v>265</v>
      </c>
      <c r="I215">
        <v>93</v>
      </c>
    </row>
    <row r="216" spans="1:9" x14ac:dyDescent="0.25">
      <c r="A216" s="11" t="s">
        <v>374</v>
      </c>
      <c r="B216" s="12">
        <v>0.70087962962962957</v>
      </c>
      <c r="C216" s="11" t="s">
        <v>300</v>
      </c>
      <c r="D216" s="11" t="s">
        <v>310</v>
      </c>
      <c r="E216" s="11" t="s">
        <v>388</v>
      </c>
      <c r="F216" s="11" t="s">
        <v>407</v>
      </c>
      <c r="G216">
        <v>0</v>
      </c>
      <c r="H216">
        <v>60</v>
      </c>
      <c r="I216">
        <v>358</v>
      </c>
    </row>
    <row r="217" spans="1:9" x14ac:dyDescent="0.25">
      <c r="A217" s="11" t="s">
        <v>374</v>
      </c>
      <c r="B217" s="12">
        <v>0.49547453703703703</v>
      </c>
      <c r="C217" s="11" t="s">
        <v>300</v>
      </c>
      <c r="D217" s="11" t="s">
        <v>310</v>
      </c>
      <c r="E217" s="11" t="s">
        <v>388</v>
      </c>
      <c r="F217" s="11" t="s">
        <v>400</v>
      </c>
      <c r="G217">
        <v>0</v>
      </c>
      <c r="H217">
        <v>29</v>
      </c>
      <c r="I217">
        <v>418</v>
      </c>
    </row>
    <row r="218" spans="1:9" x14ac:dyDescent="0.25">
      <c r="A218" s="11" t="s">
        <v>374</v>
      </c>
      <c r="B218" s="12">
        <v>0.43101851851851852</v>
      </c>
      <c r="C218" s="11" t="s">
        <v>300</v>
      </c>
      <c r="D218" s="11" t="s">
        <v>310</v>
      </c>
      <c r="E218" s="11" t="s">
        <v>389</v>
      </c>
      <c r="F218" s="11" t="s">
        <v>383</v>
      </c>
      <c r="G218">
        <v>0</v>
      </c>
      <c r="H218">
        <v>11</v>
      </c>
      <c r="I218">
        <v>447</v>
      </c>
    </row>
    <row r="219" spans="1:9" x14ac:dyDescent="0.25">
      <c r="A219" s="11" t="s">
        <v>374</v>
      </c>
      <c r="B219" s="12">
        <v>0.38805555555555554</v>
      </c>
      <c r="C219" s="11" t="s">
        <v>300</v>
      </c>
      <c r="D219" s="11" t="s">
        <v>310</v>
      </c>
      <c r="E219" s="11" t="s">
        <v>388</v>
      </c>
      <c r="F219" s="11" t="s">
        <v>400</v>
      </c>
      <c r="G219">
        <v>0</v>
      </c>
      <c r="H219">
        <v>10</v>
      </c>
      <c r="I219">
        <v>458</v>
      </c>
    </row>
    <row r="220" spans="1:9" x14ac:dyDescent="0.25">
      <c r="A220" s="11" t="s">
        <v>374</v>
      </c>
      <c r="B220" s="12">
        <v>0.37307870370370372</v>
      </c>
      <c r="C220" s="11" t="s">
        <v>300</v>
      </c>
      <c r="D220" s="11" t="s">
        <v>310</v>
      </c>
      <c r="E220" s="11" t="s">
        <v>389</v>
      </c>
      <c r="F220" s="11" t="s">
        <v>392</v>
      </c>
      <c r="G220">
        <v>0</v>
      </c>
      <c r="H220">
        <v>30</v>
      </c>
      <c r="I220">
        <v>468</v>
      </c>
    </row>
    <row r="221" spans="1:9" x14ac:dyDescent="0.25">
      <c r="A221" s="11" t="s">
        <v>375</v>
      </c>
      <c r="B221" s="12">
        <v>0.67437499999999995</v>
      </c>
      <c r="C221" s="11" t="s">
        <v>300</v>
      </c>
      <c r="D221" s="11" t="s">
        <v>309</v>
      </c>
      <c r="E221" s="11" t="s">
        <v>389</v>
      </c>
      <c r="F221" s="11" t="s">
        <v>392</v>
      </c>
      <c r="G221">
        <v>0</v>
      </c>
      <c r="H221">
        <v>30</v>
      </c>
      <c r="I221">
        <v>498</v>
      </c>
    </row>
    <row r="222" spans="1:9" x14ac:dyDescent="0.25">
      <c r="A222" s="11" t="s">
        <v>375</v>
      </c>
      <c r="B222" s="12">
        <v>0.67325231481481485</v>
      </c>
      <c r="C222" s="11" t="s">
        <v>300</v>
      </c>
      <c r="D222" s="11" t="s">
        <v>309</v>
      </c>
      <c r="E222" s="11" t="s">
        <v>21</v>
      </c>
      <c r="F222" s="11" t="s">
        <v>382</v>
      </c>
      <c r="G222">
        <v>0</v>
      </c>
      <c r="H222">
        <v>53</v>
      </c>
      <c r="I222">
        <v>528</v>
      </c>
    </row>
    <row r="223" spans="1:9" x14ac:dyDescent="0.25">
      <c r="A223" s="11" t="s">
        <v>375</v>
      </c>
      <c r="B223" s="12">
        <v>0.67325231481481485</v>
      </c>
      <c r="C223" s="11" t="s">
        <v>300</v>
      </c>
      <c r="D223" s="11" t="s">
        <v>309</v>
      </c>
      <c r="E223" s="11" t="s">
        <v>387</v>
      </c>
      <c r="F223" s="11" t="s">
        <v>406</v>
      </c>
      <c r="G223">
        <v>0</v>
      </c>
      <c r="H223">
        <v>3200</v>
      </c>
      <c r="I223">
        <v>581</v>
      </c>
    </row>
    <row r="224" spans="1:9" x14ac:dyDescent="0.25">
      <c r="A224" s="11" t="s">
        <v>375</v>
      </c>
      <c r="B224" s="12">
        <v>0.65987268518518516</v>
      </c>
      <c r="C224" s="11" t="s">
        <v>300</v>
      </c>
      <c r="D224" s="11" t="s">
        <v>309</v>
      </c>
      <c r="E224" s="11" t="s">
        <v>388</v>
      </c>
      <c r="F224" s="11" t="s">
        <v>409</v>
      </c>
      <c r="G224">
        <v>0</v>
      </c>
      <c r="H224">
        <v>1235</v>
      </c>
      <c r="I224">
        <v>3781</v>
      </c>
    </row>
    <row r="225" spans="1:9" x14ac:dyDescent="0.25">
      <c r="A225" s="11" t="s">
        <v>375</v>
      </c>
      <c r="B225" s="12">
        <v>0.64298611111111115</v>
      </c>
      <c r="C225" s="11" t="s">
        <v>300</v>
      </c>
      <c r="D225" s="11" t="s">
        <v>309</v>
      </c>
      <c r="E225" s="11" t="s">
        <v>388</v>
      </c>
      <c r="F225" s="11" t="s">
        <v>411</v>
      </c>
      <c r="G225">
        <v>0</v>
      </c>
      <c r="H225">
        <v>80</v>
      </c>
      <c r="I225">
        <v>5016</v>
      </c>
    </row>
    <row r="226" spans="1:9" x14ac:dyDescent="0.25">
      <c r="A226" s="11" t="s">
        <v>375</v>
      </c>
      <c r="B226" s="12">
        <v>0.63828703703703704</v>
      </c>
      <c r="C226" s="11" t="s">
        <v>300</v>
      </c>
      <c r="D226" s="11" t="s">
        <v>309</v>
      </c>
      <c r="E226" s="11" t="s">
        <v>388</v>
      </c>
      <c r="F226" s="11" t="s">
        <v>403</v>
      </c>
      <c r="G226">
        <v>0</v>
      </c>
      <c r="H226">
        <v>100</v>
      </c>
      <c r="I226">
        <v>5096</v>
      </c>
    </row>
    <row r="227" spans="1:9" x14ac:dyDescent="0.25">
      <c r="A227" s="11" t="s">
        <v>375</v>
      </c>
      <c r="B227" s="12">
        <v>0.63121527777777775</v>
      </c>
      <c r="C227" s="11" t="s">
        <v>300</v>
      </c>
      <c r="D227" s="11" t="s">
        <v>309</v>
      </c>
      <c r="E227" s="11" t="s">
        <v>381</v>
      </c>
      <c r="F227" s="11" t="s">
        <v>401</v>
      </c>
      <c r="G227">
        <v>0</v>
      </c>
      <c r="H227">
        <v>55</v>
      </c>
      <c r="I227">
        <v>5196</v>
      </c>
    </row>
    <row r="228" spans="1:9" x14ac:dyDescent="0.25">
      <c r="A228" s="11" t="s">
        <v>375</v>
      </c>
      <c r="B228" s="12">
        <v>0.5622800925925926</v>
      </c>
      <c r="C228" s="11" t="s">
        <v>300</v>
      </c>
      <c r="D228" s="11" t="s">
        <v>309</v>
      </c>
      <c r="E228" s="11" t="s">
        <v>389</v>
      </c>
      <c r="F228" s="11" t="s">
        <v>383</v>
      </c>
      <c r="G228">
        <v>0</v>
      </c>
      <c r="H228">
        <v>22</v>
      </c>
      <c r="I228">
        <v>5251</v>
      </c>
    </row>
    <row r="229" spans="1:9" x14ac:dyDescent="0.25">
      <c r="A229" s="11" t="s">
        <v>375</v>
      </c>
      <c r="B229" s="12">
        <v>0.5075115740740741</v>
      </c>
      <c r="C229" s="11" t="s">
        <v>300</v>
      </c>
      <c r="D229" s="11" t="s">
        <v>309</v>
      </c>
      <c r="E229" s="11" t="s">
        <v>384</v>
      </c>
      <c r="F229" s="11" t="s">
        <v>391</v>
      </c>
      <c r="G229">
        <v>5000</v>
      </c>
      <c r="H229">
        <v>0</v>
      </c>
      <c r="I229">
        <v>5273</v>
      </c>
    </row>
    <row r="230" spans="1:9" x14ac:dyDescent="0.25">
      <c r="A230" s="11" t="s">
        <v>376</v>
      </c>
      <c r="B230" s="12">
        <v>0.83497685185185189</v>
      </c>
      <c r="C230" s="11" t="s">
        <v>300</v>
      </c>
      <c r="D230" s="11" t="s">
        <v>308</v>
      </c>
      <c r="E230" s="11" t="s">
        <v>388</v>
      </c>
      <c r="F230" s="11" t="s">
        <v>409</v>
      </c>
      <c r="G230">
        <v>0</v>
      </c>
      <c r="H230">
        <v>30</v>
      </c>
      <c r="I230">
        <v>273</v>
      </c>
    </row>
    <row r="231" spans="1:9" x14ac:dyDescent="0.25">
      <c r="A231" s="11" t="s">
        <v>376</v>
      </c>
      <c r="B231" s="12">
        <v>0.83424768518518522</v>
      </c>
      <c r="C231" s="11" t="s">
        <v>300</v>
      </c>
      <c r="D231" s="11" t="s">
        <v>308</v>
      </c>
      <c r="E231" s="11" t="s">
        <v>381</v>
      </c>
      <c r="F231" s="11" t="s">
        <v>415</v>
      </c>
      <c r="G231">
        <v>0</v>
      </c>
      <c r="H231">
        <v>30</v>
      </c>
      <c r="I231">
        <v>303</v>
      </c>
    </row>
    <row r="232" spans="1:9" x14ac:dyDescent="0.25">
      <c r="A232" s="11" t="s">
        <v>376</v>
      </c>
      <c r="B232" s="12">
        <v>0.83099537037037041</v>
      </c>
      <c r="C232" s="11" t="s">
        <v>300</v>
      </c>
      <c r="D232" s="11" t="s">
        <v>308</v>
      </c>
      <c r="E232" s="11" t="s">
        <v>387</v>
      </c>
      <c r="F232" s="11" t="s">
        <v>396</v>
      </c>
      <c r="G232">
        <v>0</v>
      </c>
      <c r="H232">
        <v>25</v>
      </c>
      <c r="I232">
        <v>333</v>
      </c>
    </row>
    <row r="233" spans="1:9" x14ac:dyDescent="0.25">
      <c r="A233" s="11" t="s">
        <v>376</v>
      </c>
      <c r="B233" s="12">
        <v>0.64793981481481477</v>
      </c>
      <c r="C233" s="11" t="s">
        <v>300</v>
      </c>
      <c r="D233" s="11" t="s">
        <v>308</v>
      </c>
      <c r="E233" s="11" t="s">
        <v>389</v>
      </c>
      <c r="F233" s="11" t="s">
        <v>392</v>
      </c>
      <c r="G233">
        <v>0</v>
      </c>
      <c r="H233">
        <v>30</v>
      </c>
      <c r="I233">
        <v>358</v>
      </c>
    </row>
    <row r="234" spans="1:9" x14ac:dyDescent="0.25">
      <c r="A234" s="11" t="s">
        <v>376</v>
      </c>
      <c r="B234" s="12">
        <v>0.62916666666666665</v>
      </c>
      <c r="C234" s="11" t="s">
        <v>300</v>
      </c>
      <c r="D234" s="11" t="s">
        <v>308</v>
      </c>
      <c r="E234" s="11" t="s">
        <v>388</v>
      </c>
      <c r="F234" s="11" t="s">
        <v>409</v>
      </c>
      <c r="G234">
        <v>0</v>
      </c>
      <c r="H234">
        <v>115</v>
      </c>
      <c r="I234">
        <v>388</v>
      </c>
    </row>
    <row r="235" spans="1:9" x14ac:dyDescent="0.25">
      <c r="A235" s="11" t="s">
        <v>376</v>
      </c>
      <c r="B235" s="12">
        <v>0.44973379629629628</v>
      </c>
      <c r="C235" s="11" t="s">
        <v>300</v>
      </c>
      <c r="D235" s="11" t="s">
        <v>308</v>
      </c>
      <c r="E235" s="11" t="s">
        <v>384</v>
      </c>
      <c r="F235" s="11" t="s">
        <v>393</v>
      </c>
      <c r="G235">
        <v>100</v>
      </c>
      <c r="H235">
        <v>0</v>
      </c>
      <c r="I235">
        <v>503</v>
      </c>
    </row>
    <row r="236" spans="1:9" x14ac:dyDescent="0.25">
      <c r="A236" s="11" t="s">
        <v>376</v>
      </c>
      <c r="B236" s="12">
        <v>0.4488773148148148</v>
      </c>
      <c r="C236" s="11" t="s">
        <v>300</v>
      </c>
      <c r="D236" s="11" t="s">
        <v>308</v>
      </c>
      <c r="E236" s="11" t="s">
        <v>384</v>
      </c>
      <c r="F236" s="11" t="s">
        <v>393</v>
      </c>
      <c r="G236">
        <v>100</v>
      </c>
      <c r="H236">
        <v>0</v>
      </c>
      <c r="I236">
        <v>403</v>
      </c>
    </row>
    <row r="237" spans="1:9" x14ac:dyDescent="0.25">
      <c r="A237" s="11" t="s">
        <v>377</v>
      </c>
      <c r="B237" s="12">
        <v>0.90616898148148151</v>
      </c>
      <c r="C237" s="11" t="s">
        <v>300</v>
      </c>
      <c r="D237" s="11" t="s">
        <v>307</v>
      </c>
      <c r="E237" s="11" t="s">
        <v>389</v>
      </c>
      <c r="F237" s="11" t="s">
        <v>392</v>
      </c>
      <c r="G237">
        <v>0</v>
      </c>
      <c r="H237">
        <v>30</v>
      </c>
      <c r="I237">
        <v>303</v>
      </c>
    </row>
    <row r="238" spans="1:9" x14ac:dyDescent="0.25">
      <c r="A238" s="11" t="s">
        <v>377</v>
      </c>
      <c r="B238" s="12">
        <v>0.79670138888888886</v>
      </c>
      <c r="C238" s="11" t="s">
        <v>300</v>
      </c>
      <c r="D238" s="11" t="s">
        <v>307</v>
      </c>
      <c r="E238" s="11" t="s">
        <v>388</v>
      </c>
      <c r="F238" s="11" t="s">
        <v>409</v>
      </c>
      <c r="G238">
        <v>0</v>
      </c>
      <c r="H238">
        <v>40</v>
      </c>
      <c r="I238">
        <v>333</v>
      </c>
    </row>
    <row r="239" spans="1:9" x14ac:dyDescent="0.25">
      <c r="A239" s="11" t="s">
        <v>377</v>
      </c>
      <c r="B239" s="12">
        <v>0.79539351851851847</v>
      </c>
      <c r="C239" s="11" t="s">
        <v>300</v>
      </c>
      <c r="D239" s="11" t="s">
        <v>307</v>
      </c>
      <c r="E239" s="11" t="s">
        <v>381</v>
      </c>
      <c r="F239" s="11" t="s">
        <v>415</v>
      </c>
      <c r="G239">
        <v>0</v>
      </c>
      <c r="H239">
        <v>20</v>
      </c>
      <c r="I239">
        <v>373</v>
      </c>
    </row>
    <row r="240" spans="1:9" x14ac:dyDescent="0.25">
      <c r="A240" s="11" t="s">
        <v>377</v>
      </c>
      <c r="B240" s="12">
        <v>0.79268518518518516</v>
      </c>
      <c r="C240" s="11" t="s">
        <v>300</v>
      </c>
      <c r="D240" s="11" t="s">
        <v>307</v>
      </c>
      <c r="E240" s="11" t="s">
        <v>387</v>
      </c>
      <c r="F240" s="11" t="s">
        <v>408</v>
      </c>
      <c r="G240">
        <v>0</v>
      </c>
      <c r="H240">
        <v>60</v>
      </c>
      <c r="I240">
        <v>393</v>
      </c>
    </row>
    <row r="241" spans="1:9" x14ac:dyDescent="0.25">
      <c r="A241" s="11" t="s">
        <v>377</v>
      </c>
      <c r="B241" s="12">
        <v>0.57062500000000005</v>
      </c>
      <c r="C241" s="11" t="s">
        <v>300</v>
      </c>
      <c r="D241" s="11" t="s">
        <v>307</v>
      </c>
      <c r="E241" s="11" t="s">
        <v>388</v>
      </c>
      <c r="F241" s="11" t="s">
        <v>409</v>
      </c>
      <c r="G241">
        <v>0</v>
      </c>
      <c r="H241">
        <v>55</v>
      </c>
      <c r="I241">
        <v>453</v>
      </c>
    </row>
    <row r="242" spans="1:9" x14ac:dyDescent="0.25">
      <c r="A242" s="11" t="s">
        <v>377</v>
      </c>
      <c r="B242" s="12">
        <v>0.47596064814814815</v>
      </c>
      <c r="C242" s="11" t="s">
        <v>300</v>
      </c>
      <c r="D242" s="11" t="s">
        <v>307</v>
      </c>
      <c r="E242" s="11" t="s">
        <v>389</v>
      </c>
      <c r="F242" s="11" t="s">
        <v>392</v>
      </c>
      <c r="G242">
        <v>0</v>
      </c>
      <c r="H242">
        <v>30</v>
      </c>
      <c r="I242">
        <v>508</v>
      </c>
    </row>
    <row r="243" spans="1:9" x14ac:dyDescent="0.25">
      <c r="A243" s="11" t="s">
        <v>377</v>
      </c>
      <c r="B243" s="12">
        <v>0.43796296296296294</v>
      </c>
      <c r="C243" s="11" t="s">
        <v>300</v>
      </c>
      <c r="D243" s="11" t="s">
        <v>307</v>
      </c>
      <c r="E243" s="11" t="s">
        <v>381</v>
      </c>
      <c r="F243" s="11" t="s">
        <v>385</v>
      </c>
      <c r="G243">
        <v>0</v>
      </c>
      <c r="H243">
        <v>45</v>
      </c>
      <c r="I243">
        <v>538</v>
      </c>
    </row>
    <row r="244" spans="1:9" x14ac:dyDescent="0.25">
      <c r="A244" s="11" t="s">
        <v>378</v>
      </c>
      <c r="B244" s="12">
        <v>0.8561805555555555</v>
      </c>
      <c r="C244" s="11" t="s">
        <v>300</v>
      </c>
      <c r="D244" s="11" t="s">
        <v>306</v>
      </c>
      <c r="E244" s="11" t="s">
        <v>389</v>
      </c>
      <c r="F244" s="11" t="s">
        <v>392</v>
      </c>
      <c r="G244">
        <v>0</v>
      </c>
      <c r="H244">
        <v>30</v>
      </c>
      <c r="I244">
        <v>583</v>
      </c>
    </row>
    <row r="245" spans="1:9" x14ac:dyDescent="0.25">
      <c r="A245" s="11" t="s">
        <v>378</v>
      </c>
      <c r="B245" s="12">
        <v>0.84457175925925931</v>
      </c>
      <c r="C245" s="11" t="s">
        <v>300</v>
      </c>
      <c r="D245" s="11" t="s">
        <v>306</v>
      </c>
      <c r="E245" s="11" t="s">
        <v>388</v>
      </c>
      <c r="F245" s="11" t="s">
        <v>409</v>
      </c>
      <c r="G245">
        <v>0</v>
      </c>
      <c r="H245">
        <v>45</v>
      </c>
      <c r="I245">
        <v>613</v>
      </c>
    </row>
    <row r="246" spans="1:9" x14ac:dyDescent="0.25">
      <c r="A246" s="11" t="s">
        <v>378</v>
      </c>
      <c r="B246" s="12">
        <v>0.820775462962963</v>
      </c>
      <c r="C246" s="11" t="s">
        <v>300</v>
      </c>
      <c r="D246" s="11" t="s">
        <v>306</v>
      </c>
      <c r="E246" s="11" t="s">
        <v>384</v>
      </c>
      <c r="F246" s="11" t="s">
        <v>410</v>
      </c>
      <c r="G246">
        <v>500</v>
      </c>
      <c r="H246">
        <v>0</v>
      </c>
      <c r="I246">
        <v>658</v>
      </c>
    </row>
    <row r="247" spans="1:9" x14ac:dyDescent="0.25">
      <c r="A247" s="11" t="s">
        <v>378</v>
      </c>
      <c r="B247" s="12">
        <v>0.75957175925925924</v>
      </c>
      <c r="C247" s="11" t="s">
        <v>300</v>
      </c>
      <c r="D247" s="11" t="s">
        <v>306</v>
      </c>
      <c r="E247" s="11" t="s">
        <v>388</v>
      </c>
      <c r="F247" s="11" t="s">
        <v>411</v>
      </c>
      <c r="G247">
        <v>0</v>
      </c>
      <c r="H247">
        <v>35</v>
      </c>
      <c r="I247">
        <v>158</v>
      </c>
    </row>
    <row r="248" spans="1:9" x14ac:dyDescent="0.25">
      <c r="A248" s="11" t="s">
        <v>378</v>
      </c>
      <c r="B248" s="12">
        <v>0.75760416666666663</v>
      </c>
      <c r="C248" s="11" t="s">
        <v>300</v>
      </c>
      <c r="D248" s="11" t="s">
        <v>306</v>
      </c>
      <c r="E248" s="11" t="s">
        <v>387</v>
      </c>
      <c r="F248" s="11" t="s">
        <v>402</v>
      </c>
      <c r="G248">
        <v>0</v>
      </c>
      <c r="H248">
        <v>25</v>
      </c>
      <c r="I248">
        <v>193</v>
      </c>
    </row>
    <row r="249" spans="1:9" x14ac:dyDescent="0.25">
      <c r="A249" s="11" t="s">
        <v>378</v>
      </c>
      <c r="B249" s="12">
        <v>0.67864583333333328</v>
      </c>
      <c r="C249" s="11" t="s">
        <v>300</v>
      </c>
      <c r="D249" s="11" t="s">
        <v>306</v>
      </c>
      <c r="E249" s="11" t="s">
        <v>388</v>
      </c>
      <c r="F249" s="11" t="s">
        <v>409</v>
      </c>
      <c r="G249">
        <v>0</v>
      </c>
      <c r="H249">
        <v>30</v>
      </c>
      <c r="I249">
        <v>218</v>
      </c>
    </row>
    <row r="250" spans="1:9" x14ac:dyDescent="0.25">
      <c r="A250" s="11" t="s">
        <v>378</v>
      </c>
      <c r="B250" s="12">
        <v>0.67670138888888887</v>
      </c>
      <c r="C250" s="11" t="s">
        <v>300</v>
      </c>
      <c r="D250" s="11" t="s">
        <v>306</v>
      </c>
      <c r="E250" s="11" t="s">
        <v>381</v>
      </c>
      <c r="F250" s="11" t="s">
        <v>415</v>
      </c>
      <c r="G250">
        <v>0</v>
      </c>
      <c r="H250">
        <v>60</v>
      </c>
      <c r="I250">
        <v>248</v>
      </c>
    </row>
    <row r="251" spans="1:9" x14ac:dyDescent="0.25">
      <c r="A251" s="11" t="s">
        <v>378</v>
      </c>
      <c r="B251" s="12">
        <v>0.67131944444444447</v>
      </c>
      <c r="C251" s="11" t="s">
        <v>300</v>
      </c>
      <c r="D251" s="11" t="s">
        <v>306</v>
      </c>
      <c r="E251" s="11" t="s">
        <v>384</v>
      </c>
      <c r="F251" s="11" t="s">
        <v>410</v>
      </c>
      <c r="G251">
        <v>300</v>
      </c>
      <c r="H251">
        <v>0</v>
      </c>
      <c r="I251">
        <v>308</v>
      </c>
    </row>
    <row r="252" spans="1:9" x14ac:dyDescent="0.25">
      <c r="A252" s="11" t="s">
        <v>379</v>
      </c>
      <c r="B252" s="12">
        <v>0.83430555555555552</v>
      </c>
      <c r="C252" s="11" t="s">
        <v>300</v>
      </c>
      <c r="D252" s="11" t="s">
        <v>305</v>
      </c>
      <c r="E252" s="11" t="s">
        <v>389</v>
      </c>
      <c r="F252" s="11" t="s">
        <v>392</v>
      </c>
      <c r="G252">
        <v>0</v>
      </c>
      <c r="H252">
        <v>20</v>
      </c>
      <c r="I252">
        <v>8</v>
      </c>
    </row>
    <row r="253" spans="1:9" x14ac:dyDescent="0.25">
      <c r="A253" s="11" t="s">
        <v>379</v>
      </c>
      <c r="B253" s="12">
        <v>0.83254629629629628</v>
      </c>
      <c r="C253" s="11" t="s">
        <v>300</v>
      </c>
      <c r="D253" s="11" t="s">
        <v>305</v>
      </c>
      <c r="E253" s="11" t="s">
        <v>384</v>
      </c>
      <c r="F253" s="11" t="s">
        <v>410</v>
      </c>
      <c r="G253">
        <v>7</v>
      </c>
      <c r="H253">
        <v>0</v>
      </c>
      <c r="I253">
        <v>28</v>
      </c>
    </row>
    <row r="254" spans="1:9" x14ac:dyDescent="0.25">
      <c r="A254" s="11" t="s">
        <v>379</v>
      </c>
      <c r="B254" s="12">
        <v>0.83182870370370365</v>
      </c>
      <c r="C254" s="11" t="s">
        <v>300</v>
      </c>
      <c r="D254" s="11" t="s">
        <v>305</v>
      </c>
      <c r="E254" s="11" t="s">
        <v>389</v>
      </c>
      <c r="F254" s="11" t="s">
        <v>383</v>
      </c>
      <c r="G254">
        <v>0</v>
      </c>
      <c r="H254">
        <v>6</v>
      </c>
      <c r="I254">
        <v>21</v>
      </c>
    </row>
    <row r="255" spans="1:9" x14ac:dyDescent="0.25">
      <c r="A255" s="11" t="s">
        <v>379</v>
      </c>
      <c r="B255" s="12">
        <v>0.82357638888888884</v>
      </c>
      <c r="C255" s="11" t="s">
        <v>300</v>
      </c>
      <c r="D255" s="11" t="s">
        <v>305</v>
      </c>
      <c r="E255" s="11" t="s">
        <v>21</v>
      </c>
      <c r="F255" s="11" t="s">
        <v>382</v>
      </c>
      <c r="G255">
        <v>0</v>
      </c>
      <c r="H255">
        <v>7</v>
      </c>
      <c r="I255">
        <v>27</v>
      </c>
    </row>
    <row r="256" spans="1:9" x14ac:dyDescent="0.25">
      <c r="A256" s="11" t="s">
        <v>379</v>
      </c>
      <c r="B256" s="12">
        <v>0.82357638888888884</v>
      </c>
      <c r="C256" s="11" t="s">
        <v>300</v>
      </c>
      <c r="D256" s="11" t="s">
        <v>305</v>
      </c>
      <c r="E256" s="11" t="s">
        <v>387</v>
      </c>
      <c r="F256" s="11" t="s">
        <v>410</v>
      </c>
      <c r="G256">
        <v>0</v>
      </c>
      <c r="H256">
        <v>500</v>
      </c>
      <c r="I256">
        <v>34</v>
      </c>
    </row>
    <row r="257" spans="1:9" x14ac:dyDescent="0.25">
      <c r="A257" s="11" t="s">
        <v>379</v>
      </c>
      <c r="B257" s="12">
        <v>0.81453703703703706</v>
      </c>
      <c r="C257" s="11" t="s">
        <v>300</v>
      </c>
      <c r="D257" s="11" t="s">
        <v>305</v>
      </c>
      <c r="E257" s="11" t="s">
        <v>384</v>
      </c>
      <c r="F257" s="11" t="s">
        <v>410</v>
      </c>
      <c r="G257">
        <v>500</v>
      </c>
      <c r="H257">
        <v>0</v>
      </c>
      <c r="I257">
        <v>534</v>
      </c>
    </row>
    <row r="258" spans="1:9" x14ac:dyDescent="0.25">
      <c r="A258" s="11" t="s">
        <v>379</v>
      </c>
      <c r="B258" s="12">
        <v>0.75430555555555556</v>
      </c>
      <c r="C258" s="11" t="s">
        <v>300</v>
      </c>
      <c r="D258" s="11" t="s">
        <v>305</v>
      </c>
      <c r="E258" s="11" t="s">
        <v>389</v>
      </c>
      <c r="F258" s="11" t="s">
        <v>383</v>
      </c>
      <c r="G258">
        <v>0</v>
      </c>
      <c r="H258">
        <v>6</v>
      </c>
      <c r="I258">
        <v>34</v>
      </c>
    </row>
    <row r="259" spans="1:9" x14ac:dyDescent="0.25">
      <c r="A259" s="11" t="s">
        <v>379</v>
      </c>
      <c r="B259" s="12">
        <v>0.43263888888888891</v>
      </c>
      <c r="C259" s="11" t="s">
        <v>300</v>
      </c>
      <c r="D259" s="11" t="s">
        <v>305</v>
      </c>
      <c r="E259" s="11" t="s">
        <v>388</v>
      </c>
      <c r="F259" s="11" t="s">
        <v>409</v>
      </c>
      <c r="G259">
        <v>0</v>
      </c>
      <c r="H259">
        <v>60</v>
      </c>
      <c r="I259">
        <v>40</v>
      </c>
    </row>
    <row r="260" spans="1:9" x14ac:dyDescent="0.25">
      <c r="A260" s="11" t="s">
        <v>379</v>
      </c>
      <c r="B260" s="12">
        <v>0.38048611111111114</v>
      </c>
      <c r="C260" s="11" t="s">
        <v>300</v>
      </c>
      <c r="D260" s="11" t="s">
        <v>305</v>
      </c>
      <c r="E260" s="11" t="s">
        <v>384</v>
      </c>
      <c r="F260" s="11" t="s">
        <v>410</v>
      </c>
      <c r="G260">
        <v>30</v>
      </c>
      <c r="H260">
        <v>0</v>
      </c>
      <c r="I260">
        <v>100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F7CD4-3DD0-40F2-93AA-4E77901380B0}">
  <dimension ref="A1:S23"/>
  <sheetViews>
    <sheetView zoomScale="85" zoomScaleNormal="85" workbookViewId="0">
      <selection activeCell="D3" sqref="D3"/>
      <pivotSelection pane="bottomRight" showHeader="1" activeRow="2" activeCol="3" click="1" r:id="rId2">
        <pivotArea dataOnly="0" labelOnly="1" fieldPosition="0">
          <references count="1">
            <reference field="2" count="0"/>
          </references>
        </pivotArea>
      </pivotSelection>
    </sheetView>
  </sheetViews>
  <sheetFormatPr defaultRowHeight="15" x14ac:dyDescent="0.25"/>
  <cols>
    <col min="1" max="1" width="13.28515625" bestFit="1" customWidth="1"/>
    <col min="2" max="2" width="28.42578125" bestFit="1" customWidth="1"/>
    <col min="4" max="4" width="78.140625" bestFit="1" customWidth="1"/>
    <col min="5" max="5" width="28.42578125" bestFit="1" customWidth="1"/>
    <col min="6" max="6" width="21.140625" bestFit="1" customWidth="1"/>
    <col min="7" max="7" width="58.85546875" bestFit="1" customWidth="1"/>
    <col min="8" max="8" width="32.7109375" bestFit="1" customWidth="1"/>
    <col min="11" max="11" width="13.28515625" bestFit="1" customWidth="1"/>
    <col min="12" max="12" width="32.7109375" bestFit="1" customWidth="1"/>
    <col min="14" max="14" width="13.28515625" bestFit="1" customWidth="1"/>
    <col min="15" max="16" width="21.140625" bestFit="1" customWidth="1"/>
    <col min="18" max="18" width="12.28515625" customWidth="1"/>
    <col min="19" max="19" width="13.140625" bestFit="1" customWidth="1"/>
  </cols>
  <sheetData>
    <row r="1" spans="1:19" x14ac:dyDescent="0.25">
      <c r="A1" s="7" t="s">
        <v>314</v>
      </c>
      <c r="B1" s="6"/>
      <c r="D1" s="5" t="s">
        <v>315</v>
      </c>
      <c r="G1" s="5" t="s">
        <v>3</v>
      </c>
    </row>
    <row r="2" spans="1:19" x14ac:dyDescent="0.25">
      <c r="A2" s="8" t="s">
        <v>299</v>
      </c>
      <c r="B2" s="6" t="s">
        <v>304</v>
      </c>
      <c r="D2" s="2" t="s">
        <v>299</v>
      </c>
      <c r="E2" t="s">
        <v>304</v>
      </c>
      <c r="G2" s="2" t="s">
        <v>299</v>
      </c>
      <c r="H2" t="s">
        <v>313</v>
      </c>
      <c r="K2" s="5" t="s">
        <v>316</v>
      </c>
      <c r="N2" s="5" t="s">
        <v>317</v>
      </c>
    </row>
    <row r="3" spans="1:19" x14ac:dyDescent="0.25">
      <c r="A3" s="9" t="s">
        <v>300</v>
      </c>
      <c r="B3" s="6">
        <v>13277</v>
      </c>
      <c r="D3" s="3" t="s">
        <v>14</v>
      </c>
      <c r="E3">
        <v>1050</v>
      </c>
      <c r="G3" s="3" t="s">
        <v>52</v>
      </c>
      <c r="H3">
        <v>1030</v>
      </c>
      <c r="K3" s="2" t="s">
        <v>299</v>
      </c>
      <c r="L3" t="s">
        <v>313</v>
      </c>
      <c r="N3" s="2" t="s">
        <v>299</v>
      </c>
      <c r="O3" t="s">
        <v>312</v>
      </c>
      <c r="Q3" t="s">
        <v>320</v>
      </c>
      <c r="S3" s="6">
        <v>25276</v>
      </c>
    </row>
    <row r="4" spans="1:19" x14ac:dyDescent="0.25">
      <c r="A4" s="10" t="s">
        <v>305</v>
      </c>
      <c r="B4" s="6">
        <v>849</v>
      </c>
      <c r="D4" s="3" t="s">
        <v>303</v>
      </c>
      <c r="E4">
        <v>1050</v>
      </c>
      <c r="G4" s="3" t="s">
        <v>74</v>
      </c>
      <c r="H4">
        <v>1711</v>
      </c>
      <c r="K4" s="3" t="s">
        <v>300</v>
      </c>
      <c r="L4">
        <v>13277</v>
      </c>
      <c r="N4" s="3" t="s">
        <v>300</v>
      </c>
      <c r="O4">
        <v>74538</v>
      </c>
      <c r="Q4" t="s">
        <v>321</v>
      </c>
      <c r="S4" s="6">
        <v>53646</v>
      </c>
    </row>
    <row r="5" spans="1:19" x14ac:dyDescent="0.25">
      <c r="A5" s="10" t="s">
        <v>306</v>
      </c>
      <c r="B5" s="6">
        <v>922</v>
      </c>
      <c r="G5" s="3" t="s">
        <v>44</v>
      </c>
      <c r="H5">
        <v>7785</v>
      </c>
      <c r="K5" s="4" t="s">
        <v>305</v>
      </c>
      <c r="L5">
        <v>1537</v>
      </c>
      <c r="N5" s="4" t="s">
        <v>305</v>
      </c>
      <c r="O5">
        <v>3927</v>
      </c>
    </row>
    <row r="6" spans="1:19" x14ac:dyDescent="0.25">
      <c r="A6" s="10" t="s">
        <v>307</v>
      </c>
      <c r="B6" s="6">
        <v>660</v>
      </c>
      <c r="G6" s="3" t="s">
        <v>25</v>
      </c>
      <c r="H6">
        <v>36020</v>
      </c>
      <c r="K6" s="4" t="s">
        <v>306</v>
      </c>
      <c r="L6">
        <v>900</v>
      </c>
      <c r="N6" s="4" t="s">
        <v>306</v>
      </c>
      <c r="O6">
        <v>8552</v>
      </c>
    </row>
    <row r="7" spans="1:19" x14ac:dyDescent="0.25">
      <c r="A7" s="10" t="s">
        <v>308</v>
      </c>
      <c r="B7" s="6">
        <v>450</v>
      </c>
      <c r="G7" s="3" t="s">
        <v>111</v>
      </c>
      <c r="H7">
        <v>100</v>
      </c>
      <c r="K7" s="4" t="s">
        <v>307</v>
      </c>
      <c r="L7">
        <v>100</v>
      </c>
      <c r="N7" s="4" t="s">
        <v>307</v>
      </c>
      <c r="O7">
        <v>5646</v>
      </c>
    </row>
    <row r="8" spans="1:19" x14ac:dyDescent="0.25">
      <c r="A8" s="10" t="s">
        <v>309</v>
      </c>
      <c r="B8" s="6">
        <v>5002</v>
      </c>
      <c r="G8" s="3" t="s">
        <v>12</v>
      </c>
      <c r="H8">
        <v>7000</v>
      </c>
      <c r="K8" s="4" t="s">
        <v>308</v>
      </c>
      <c r="L8">
        <v>360</v>
      </c>
      <c r="N8" s="4" t="s">
        <v>308</v>
      </c>
      <c r="O8">
        <v>3398</v>
      </c>
    </row>
    <row r="9" spans="1:19" x14ac:dyDescent="0.25">
      <c r="A9" s="10" t="s">
        <v>310</v>
      </c>
      <c r="B9" s="6">
        <v>5082</v>
      </c>
      <c r="G9" s="3" t="s">
        <v>303</v>
      </c>
      <c r="H9">
        <v>53646</v>
      </c>
      <c r="K9" s="4" t="s">
        <v>309</v>
      </c>
      <c r="L9">
        <v>5100</v>
      </c>
      <c r="N9" s="4" t="s">
        <v>309</v>
      </c>
      <c r="O9">
        <v>31521</v>
      </c>
    </row>
    <row r="10" spans="1:19" x14ac:dyDescent="0.25">
      <c r="A10" s="10" t="s">
        <v>311</v>
      </c>
      <c r="B10" s="6">
        <v>312</v>
      </c>
      <c r="K10" s="4" t="s">
        <v>310</v>
      </c>
      <c r="L10">
        <v>5280</v>
      </c>
      <c r="N10" s="4" t="s">
        <v>310</v>
      </c>
      <c r="O10">
        <v>18677</v>
      </c>
    </row>
    <row r="11" spans="1:19" x14ac:dyDescent="0.25">
      <c r="A11" s="9" t="s">
        <v>301</v>
      </c>
      <c r="B11" s="6">
        <v>7836</v>
      </c>
      <c r="K11" s="4" t="s">
        <v>311</v>
      </c>
      <c r="L11">
        <v>0</v>
      </c>
      <c r="N11" s="4" t="s">
        <v>311</v>
      </c>
      <c r="O11">
        <v>2817</v>
      </c>
    </row>
    <row r="12" spans="1:19" x14ac:dyDescent="0.25">
      <c r="A12" s="10" t="s">
        <v>305</v>
      </c>
      <c r="B12" s="6">
        <v>330</v>
      </c>
      <c r="K12" s="3" t="s">
        <v>301</v>
      </c>
      <c r="L12">
        <v>7769</v>
      </c>
      <c r="N12" s="3" t="s">
        <v>301</v>
      </c>
      <c r="O12">
        <v>223521</v>
      </c>
    </row>
    <row r="13" spans="1:19" x14ac:dyDescent="0.25">
      <c r="A13" s="10" t="s">
        <v>306</v>
      </c>
      <c r="B13" s="6">
        <v>786</v>
      </c>
      <c r="K13" s="4" t="s">
        <v>305</v>
      </c>
      <c r="L13">
        <v>305</v>
      </c>
      <c r="N13" s="4" t="s">
        <v>305</v>
      </c>
      <c r="O13">
        <v>13000</v>
      </c>
    </row>
    <row r="14" spans="1:19" x14ac:dyDescent="0.25">
      <c r="A14" s="10" t="s">
        <v>307</v>
      </c>
      <c r="B14" s="6">
        <v>602</v>
      </c>
      <c r="K14" s="4" t="s">
        <v>306</v>
      </c>
      <c r="L14">
        <v>5795</v>
      </c>
      <c r="N14" s="4" t="s">
        <v>306</v>
      </c>
      <c r="O14">
        <v>53550</v>
      </c>
    </row>
    <row r="15" spans="1:19" x14ac:dyDescent="0.25">
      <c r="A15" s="10" t="s">
        <v>308</v>
      </c>
      <c r="B15" s="6">
        <v>3787</v>
      </c>
      <c r="K15" s="4" t="s">
        <v>307</v>
      </c>
      <c r="L15">
        <v>100</v>
      </c>
      <c r="N15" s="4" t="s">
        <v>307</v>
      </c>
      <c r="O15">
        <v>45862</v>
      </c>
    </row>
    <row r="16" spans="1:19" x14ac:dyDescent="0.25">
      <c r="A16" s="10" t="s">
        <v>309</v>
      </c>
      <c r="B16" s="6">
        <v>448</v>
      </c>
      <c r="K16" s="4" t="s">
        <v>308</v>
      </c>
      <c r="L16">
        <v>161</v>
      </c>
      <c r="N16" s="4" t="s">
        <v>308</v>
      </c>
      <c r="O16">
        <v>33889</v>
      </c>
    </row>
    <row r="17" spans="1:15" x14ac:dyDescent="0.25">
      <c r="A17" s="10" t="s">
        <v>310</v>
      </c>
      <c r="B17" s="6">
        <v>1608</v>
      </c>
      <c r="K17" s="4" t="s">
        <v>309</v>
      </c>
      <c r="L17">
        <v>0</v>
      </c>
      <c r="N17" s="4" t="s">
        <v>309</v>
      </c>
      <c r="O17">
        <v>15368</v>
      </c>
    </row>
    <row r="18" spans="1:15" x14ac:dyDescent="0.25">
      <c r="A18" s="10" t="s">
        <v>311</v>
      </c>
      <c r="B18" s="6">
        <v>275</v>
      </c>
      <c r="K18" s="4" t="s">
        <v>310</v>
      </c>
      <c r="L18">
        <v>1128</v>
      </c>
      <c r="N18" s="4" t="s">
        <v>310</v>
      </c>
      <c r="O18">
        <v>36805</v>
      </c>
    </row>
    <row r="19" spans="1:15" x14ac:dyDescent="0.25">
      <c r="A19" s="9" t="s">
        <v>302</v>
      </c>
      <c r="B19" s="6">
        <v>4163</v>
      </c>
      <c r="K19" s="4" t="s">
        <v>311</v>
      </c>
      <c r="L19">
        <v>280</v>
      </c>
      <c r="N19" s="4" t="s">
        <v>311</v>
      </c>
      <c r="O19">
        <v>25047</v>
      </c>
    </row>
    <row r="20" spans="1:15" x14ac:dyDescent="0.25">
      <c r="A20" s="10" t="s">
        <v>306</v>
      </c>
      <c r="B20" s="6">
        <v>4140</v>
      </c>
      <c r="K20" s="3" t="s">
        <v>302</v>
      </c>
      <c r="L20">
        <v>32600</v>
      </c>
      <c r="N20" s="3" t="s">
        <v>302</v>
      </c>
      <c r="O20">
        <v>362126</v>
      </c>
    </row>
    <row r="21" spans="1:15" x14ac:dyDescent="0.25">
      <c r="A21" s="10" t="s">
        <v>307</v>
      </c>
      <c r="B21" s="6">
        <v>23</v>
      </c>
      <c r="K21" s="4" t="s">
        <v>306</v>
      </c>
      <c r="L21">
        <v>32600</v>
      </c>
      <c r="N21" s="4" t="s">
        <v>306</v>
      </c>
      <c r="O21">
        <v>276784</v>
      </c>
    </row>
    <row r="22" spans="1:15" x14ac:dyDescent="0.25">
      <c r="A22" s="9" t="s">
        <v>303</v>
      </c>
      <c r="B22" s="6">
        <v>25276</v>
      </c>
      <c r="K22" s="4" t="s">
        <v>307</v>
      </c>
      <c r="L22">
        <v>0</v>
      </c>
      <c r="N22" s="4" t="s">
        <v>307</v>
      </c>
      <c r="O22">
        <v>85342</v>
      </c>
    </row>
    <row r="23" spans="1:15" x14ac:dyDescent="0.25">
      <c r="K23" s="3" t="s">
        <v>303</v>
      </c>
      <c r="L23">
        <v>53646</v>
      </c>
      <c r="N23" s="3" t="s">
        <v>303</v>
      </c>
      <c r="O23">
        <v>660185</v>
      </c>
    </row>
  </sheetData>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86ED4-1AEF-42F3-A6CA-3F64F43BEF0A}">
  <dimension ref="A1"/>
  <sheetViews>
    <sheetView showGridLines="0" topLeftCell="M1" zoomScaleNormal="100" workbookViewId="0">
      <selection activeCell="X24" sqref="X24"/>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B655A-115F-457B-AABE-B35DE5978255}">
  <dimension ref="A1:H260"/>
  <sheetViews>
    <sheetView zoomScaleNormal="100" workbookViewId="0">
      <selection activeCell="G1" sqref="G1:G1048576"/>
    </sheetView>
  </sheetViews>
  <sheetFormatPr defaultRowHeight="15" x14ac:dyDescent="0.25"/>
  <cols>
    <col min="1" max="1" width="14" bestFit="1" customWidth="1"/>
    <col min="2" max="2" width="29.7109375" bestFit="1" customWidth="1"/>
    <col min="3" max="3" width="76.28515625" customWidth="1"/>
    <col min="4" max="4" width="28.28515625" customWidth="1"/>
    <col min="5" max="5" width="24" customWidth="1"/>
    <col min="6" max="6" width="16.7109375" customWidth="1"/>
    <col min="7" max="7" width="17.42578125" customWidth="1"/>
  </cols>
  <sheetData>
    <row r="1" spans="1:8" x14ac:dyDescent="0.25">
      <c r="A1" t="s">
        <v>0</v>
      </c>
      <c r="B1" t="s">
        <v>1</v>
      </c>
      <c r="C1" t="s">
        <v>2</v>
      </c>
      <c r="D1" t="s">
        <v>3</v>
      </c>
      <c r="E1" t="s">
        <v>4</v>
      </c>
      <c r="F1" t="s">
        <v>5</v>
      </c>
      <c r="G1" t="s">
        <v>318</v>
      </c>
      <c r="H1" t="s">
        <v>319</v>
      </c>
    </row>
    <row r="2" spans="1:8" x14ac:dyDescent="0.25">
      <c r="A2" t="s">
        <v>6</v>
      </c>
      <c r="B2" s="1">
        <v>45902.48609953704</v>
      </c>
      <c r="C2" t="s">
        <v>7</v>
      </c>
      <c r="D2">
        <v>0</v>
      </c>
      <c r="E2">
        <v>10</v>
      </c>
      <c r="F2">
        <v>28440</v>
      </c>
      <c r="G2">
        <f t="shared" ref="G2:G65" si="0">SUM(E:E)</f>
        <v>25276</v>
      </c>
      <c r="H2">
        <f t="shared" ref="H2:H65" si="1">SUM(D:D)</f>
        <v>53646</v>
      </c>
    </row>
    <row r="3" spans="1:8" x14ac:dyDescent="0.25">
      <c r="A3" t="s">
        <v>8</v>
      </c>
      <c r="B3" s="1">
        <v>45902.444398148145</v>
      </c>
      <c r="C3" t="s">
        <v>9</v>
      </c>
      <c r="D3">
        <v>0</v>
      </c>
      <c r="E3">
        <v>2</v>
      </c>
      <c r="F3">
        <v>28450</v>
      </c>
      <c r="G3">
        <f t="shared" si="0"/>
        <v>25276</v>
      </c>
      <c r="H3">
        <f t="shared" si="1"/>
        <v>53646</v>
      </c>
    </row>
    <row r="4" spans="1:8" x14ac:dyDescent="0.25">
      <c r="A4" t="s">
        <v>8</v>
      </c>
      <c r="B4" s="1">
        <v>45902.444398148145</v>
      </c>
      <c r="C4" t="s">
        <v>10</v>
      </c>
      <c r="D4">
        <v>0</v>
      </c>
      <c r="E4">
        <v>11</v>
      </c>
      <c r="F4">
        <v>28452</v>
      </c>
      <c r="G4">
        <f t="shared" si="0"/>
        <v>25276</v>
      </c>
      <c r="H4">
        <f t="shared" si="1"/>
        <v>53646</v>
      </c>
    </row>
    <row r="5" spans="1:8" x14ac:dyDescent="0.25">
      <c r="A5" t="s">
        <v>11</v>
      </c>
      <c r="B5" s="1">
        <v>45901.683530092596</v>
      </c>
      <c r="C5" t="s">
        <v>12</v>
      </c>
      <c r="D5">
        <v>2000</v>
      </c>
      <c r="E5">
        <v>0</v>
      </c>
      <c r="F5">
        <v>28463</v>
      </c>
      <c r="G5">
        <f t="shared" si="0"/>
        <v>25276</v>
      </c>
      <c r="H5">
        <f t="shared" si="1"/>
        <v>53646</v>
      </c>
    </row>
    <row r="6" spans="1:8" x14ac:dyDescent="0.25">
      <c r="A6" t="s">
        <v>13</v>
      </c>
      <c r="B6" s="1">
        <v>45901.609085648146</v>
      </c>
      <c r="C6" t="s">
        <v>14</v>
      </c>
      <c r="D6">
        <v>0</v>
      </c>
      <c r="E6">
        <v>50</v>
      </c>
      <c r="F6">
        <v>26463</v>
      </c>
      <c r="G6">
        <f t="shared" si="0"/>
        <v>25276</v>
      </c>
      <c r="H6">
        <f t="shared" si="1"/>
        <v>53646</v>
      </c>
    </row>
    <row r="7" spans="1:8" x14ac:dyDescent="0.25">
      <c r="A7" t="s">
        <v>15</v>
      </c>
      <c r="B7" s="1">
        <v>45901.604942129627</v>
      </c>
      <c r="C7" t="s">
        <v>16</v>
      </c>
      <c r="D7">
        <v>0</v>
      </c>
      <c r="E7">
        <v>840</v>
      </c>
      <c r="F7">
        <v>26513</v>
      </c>
      <c r="G7">
        <f t="shared" si="0"/>
        <v>25276</v>
      </c>
      <c r="H7">
        <f t="shared" si="1"/>
        <v>53646</v>
      </c>
    </row>
    <row r="8" spans="1:8" x14ac:dyDescent="0.25">
      <c r="A8" t="s">
        <v>17</v>
      </c>
      <c r="B8" s="1">
        <v>45901.597986111112</v>
      </c>
      <c r="C8" t="s">
        <v>18</v>
      </c>
      <c r="D8">
        <v>0</v>
      </c>
      <c r="E8">
        <v>40</v>
      </c>
      <c r="F8">
        <v>27353</v>
      </c>
      <c r="G8">
        <f t="shared" si="0"/>
        <v>25276</v>
      </c>
      <c r="H8">
        <f t="shared" si="1"/>
        <v>53646</v>
      </c>
    </row>
    <row r="9" spans="1:8" x14ac:dyDescent="0.25">
      <c r="A9" t="s">
        <v>19</v>
      </c>
      <c r="B9" s="1">
        <v>45901.597615740742</v>
      </c>
      <c r="C9" t="s">
        <v>18</v>
      </c>
      <c r="D9">
        <v>0</v>
      </c>
      <c r="E9">
        <v>25</v>
      </c>
      <c r="F9">
        <v>27393</v>
      </c>
      <c r="G9">
        <f t="shared" si="0"/>
        <v>25276</v>
      </c>
      <c r="H9">
        <f t="shared" si="1"/>
        <v>53646</v>
      </c>
    </row>
    <row r="10" spans="1:8" x14ac:dyDescent="0.25">
      <c r="A10" t="s">
        <v>20</v>
      </c>
      <c r="B10" s="1">
        <v>45901.596759259257</v>
      </c>
      <c r="C10" t="s">
        <v>21</v>
      </c>
      <c r="D10">
        <v>0</v>
      </c>
      <c r="E10">
        <v>7</v>
      </c>
      <c r="F10">
        <v>27418</v>
      </c>
      <c r="G10">
        <f t="shared" si="0"/>
        <v>25276</v>
      </c>
      <c r="H10">
        <f t="shared" si="1"/>
        <v>53646</v>
      </c>
    </row>
    <row r="11" spans="1:8" x14ac:dyDescent="0.25">
      <c r="A11" t="s">
        <v>20</v>
      </c>
      <c r="B11" s="1">
        <v>45901.596759259257</v>
      </c>
      <c r="C11" t="s">
        <v>14</v>
      </c>
      <c r="D11">
        <v>0</v>
      </c>
      <c r="E11">
        <v>125</v>
      </c>
      <c r="F11">
        <v>27425</v>
      </c>
      <c r="G11">
        <f t="shared" si="0"/>
        <v>25276</v>
      </c>
      <c r="H11">
        <f t="shared" si="1"/>
        <v>53646</v>
      </c>
    </row>
    <row r="12" spans="1:8" x14ac:dyDescent="0.25">
      <c r="A12" t="s">
        <v>22</v>
      </c>
      <c r="B12" s="1">
        <v>45901.562013888892</v>
      </c>
      <c r="C12" t="s">
        <v>21</v>
      </c>
      <c r="D12">
        <v>0</v>
      </c>
      <c r="E12">
        <v>53</v>
      </c>
      <c r="F12">
        <v>27550</v>
      </c>
      <c r="G12">
        <f t="shared" si="0"/>
        <v>25276</v>
      </c>
      <c r="H12">
        <f t="shared" si="1"/>
        <v>53646</v>
      </c>
    </row>
    <row r="13" spans="1:8" x14ac:dyDescent="0.25">
      <c r="A13" t="s">
        <v>22</v>
      </c>
      <c r="B13" s="1">
        <v>45901.562013888892</v>
      </c>
      <c r="C13" t="s">
        <v>23</v>
      </c>
      <c r="D13">
        <v>0</v>
      </c>
      <c r="E13">
        <v>3000</v>
      </c>
      <c r="F13">
        <v>27603</v>
      </c>
      <c r="G13">
        <f t="shared" si="0"/>
        <v>25276</v>
      </c>
      <c r="H13">
        <f t="shared" si="1"/>
        <v>53646</v>
      </c>
    </row>
    <row r="14" spans="1:8" x14ac:dyDescent="0.25">
      <c r="A14" t="s">
        <v>24</v>
      </c>
      <c r="B14" s="1">
        <v>45901.54587962963</v>
      </c>
      <c r="C14" t="s">
        <v>25</v>
      </c>
      <c r="D14">
        <v>30600</v>
      </c>
      <c r="E14">
        <v>0</v>
      </c>
      <c r="F14">
        <v>30603</v>
      </c>
      <c r="G14">
        <f t="shared" si="0"/>
        <v>25276</v>
      </c>
      <c r="H14">
        <f t="shared" si="1"/>
        <v>53646</v>
      </c>
    </row>
    <row r="15" spans="1:8" x14ac:dyDescent="0.25">
      <c r="A15" t="s">
        <v>26</v>
      </c>
      <c r="B15" s="1">
        <v>45893.850486111114</v>
      </c>
      <c r="C15" t="s">
        <v>27</v>
      </c>
      <c r="D15">
        <v>0</v>
      </c>
      <c r="E15">
        <v>30</v>
      </c>
      <c r="F15">
        <v>3</v>
      </c>
      <c r="G15">
        <f t="shared" si="0"/>
        <v>25276</v>
      </c>
      <c r="H15">
        <f t="shared" si="1"/>
        <v>53646</v>
      </c>
    </row>
    <row r="16" spans="1:8" x14ac:dyDescent="0.25">
      <c r="A16" t="s">
        <v>28</v>
      </c>
      <c r="B16" s="1">
        <v>45892.81453703704</v>
      </c>
      <c r="C16" t="s">
        <v>27</v>
      </c>
      <c r="D16">
        <v>0</v>
      </c>
      <c r="E16">
        <v>30</v>
      </c>
      <c r="F16">
        <v>33</v>
      </c>
      <c r="G16">
        <f t="shared" si="0"/>
        <v>25276</v>
      </c>
      <c r="H16">
        <f t="shared" si="1"/>
        <v>53646</v>
      </c>
    </row>
    <row r="17" spans="1:8" x14ac:dyDescent="0.25">
      <c r="A17" t="s">
        <v>29</v>
      </c>
      <c r="B17" s="1">
        <v>45891.804803240739</v>
      </c>
      <c r="C17" t="s">
        <v>27</v>
      </c>
      <c r="D17">
        <v>0</v>
      </c>
      <c r="E17">
        <v>30</v>
      </c>
      <c r="F17">
        <v>63</v>
      </c>
      <c r="G17">
        <f t="shared" si="0"/>
        <v>25276</v>
      </c>
      <c r="H17">
        <f t="shared" si="1"/>
        <v>53646</v>
      </c>
    </row>
    <row r="18" spans="1:8" x14ac:dyDescent="0.25">
      <c r="A18" t="s">
        <v>30</v>
      </c>
      <c r="B18" s="1">
        <v>45891.448425925926</v>
      </c>
      <c r="C18" t="s">
        <v>31</v>
      </c>
      <c r="D18">
        <v>0</v>
      </c>
      <c r="E18">
        <v>100</v>
      </c>
      <c r="F18">
        <v>93</v>
      </c>
      <c r="G18">
        <f t="shared" si="0"/>
        <v>25276</v>
      </c>
      <c r="H18">
        <f t="shared" si="1"/>
        <v>53646</v>
      </c>
    </row>
    <row r="19" spans="1:8" x14ac:dyDescent="0.25">
      <c r="A19" t="s">
        <v>32</v>
      </c>
      <c r="B19" s="1">
        <v>45891.445983796293</v>
      </c>
      <c r="C19" t="s">
        <v>31</v>
      </c>
      <c r="D19">
        <v>0</v>
      </c>
      <c r="E19">
        <v>100</v>
      </c>
      <c r="F19">
        <v>193</v>
      </c>
      <c r="G19">
        <f t="shared" si="0"/>
        <v>25276</v>
      </c>
      <c r="H19">
        <f t="shared" si="1"/>
        <v>53646</v>
      </c>
    </row>
    <row r="20" spans="1:8" x14ac:dyDescent="0.25">
      <c r="A20" t="s">
        <v>33</v>
      </c>
      <c r="B20" s="1">
        <v>45890.795104166667</v>
      </c>
      <c r="C20" t="s">
        <v>27</v>
      </c>
      <c r="D20">
        <v>0</v>
      </c>
      <c r="E20">
        <v>30</v>
      </c>
      <c r="F20">
        <v>293</v>
      </c>
      <c r="G20">
        <f t="shared" si="0"/>
        <v>25276</v>
      </c>
      <c r="H20">
        <f t="shared" si="1"/>
        <v>53646</v>
      </c>
    </row>
    <row r="21" spans="1:8" x14ac:dyDescent="0.25">
      <c r="A21" t="s">
        <v>34</v>
      </c>
      <c r="B21" s="1">
        <v>45890.58861111111</v>
      </c>
      <c r="C21" t="s">
        <v>14</v>
      </c>
      <c r="D21">
        <v>0</v>
      </c>
      <c r="E21">
        <v>35</v>
      </c>
      <c r="F21">
        <v>323</v>
      </c>
      <c r="G21">
        <f t="shared" si="0"/>
        <v>25276</v>
      </c>
      <c r="H21">
        <f t="shared" si="1"/>
        <v>53646</v>
      </c>
    </row>
    <row r="22" spans="1:8" x14ac:dyDescent="0.25">
      <c r="A22" t="s">
        <v>35</v>
      </c>
      <c r="B22" s="1">
        <v>45890.587210648147</v>
      </c>
      <c r="C22" t="s">
        <v>16</v>
      </c>
      <c r="D22">
        <v>0</v>
      </c>
      <c r="E22">
        <v>100</v>
      </c>
      <c r="F22">
        <v>358</v>
      </c>
      <c r="G22">
        <f t="shared" si="0"/>
        <v>25276</v>
      </c>
      <c r="H22">
        <f t="shared" si="1"/>
        <v>53646</v>
      </c>
    </row>
    <row r="23" spans="1:8" x14ac:dyDescent="0.25">
      <c r="A23" t="s">
        <v>36</v>
      </c>
      <c r="B23" s="1">
        <v>45890.584548611114</v>
      </c>
      <c r="C23" t="s">
        <v>37</v>
      </c>
      <c r="D23">
        <v>0</v>
      </c>
      <c r="E23">
        <v>60</v>
      </c>
      <c r="F23">
        <v>458</v>
      </c>
      <c r="G23">
        <f t="shared" si="0"/>
        <v>25276</v>
      </c>
      <c r="H23">
        <f t="shared" si="1"/>
        <v>53646</v>
      </c>
    </row>
    <row r="24" spans="1:8" x14ac:dyDescent="0.25">
      <c r="A24" t="s">
        <v>38</v>
      </c>
      <c r="B24" s="1">
        <v>45890.399675925924</v>
      </c>
      <c r="C24" t="s">
        <v>18</v>
      </c>
      <c r="D24">
        <v>0</v>
      </c>
      <c r="E24">
        <v>25</v>
      </c>
      <c r="F24">
        <v>518</v>
      </c>
      <c r="G24">
        <f t="shared" si="0"/>
        <v>25276</v>
      </c>
      <c r="H24">
        <f t="shared" si="1"/>
        <v>53646</v>
      </c>
    </row>
    <row r="25" spans="1:8" x14ac:dyDescent="0.25">
      <c r="A25" t="s">
        <v>39</v>
      </c>
      <c r="B25" s="1">
        <v>45889.87054398148</v>
      </c>
      <c r="C25" t="s">
        <v>16</v>
      </c>
      <c r="D25">
        <v>0</v>
      </c>
      <c r="E25">
        <v>150</v>
      </c>
      <c r="F25">
        <v>543</v>
      </c>
      <c r="G25">
        <f t="shared" si="0"/>
        <v>25276</v>
      </c>
      <c r="H25">
        <f t="shared" si="1"/>
        <v>53646</v>
      </c>
    </row>
    <row r="26" spans="1:8" x14ac:dyDescent="0.25">
      <c r="A26" t="s">
        <v>40</v>
      </c>
      <c r="B26" s="1">
        <v>45889.868518518517</v>
      </c>
      <c r="C26" t="s">
        <v>21</v>
      </c>
      <c r="D26">
        <v>0</v>
      </c>
      <c r="E26">
        <v>7</v>
      </c>
      <c r="F26">
        <v>693</v>
      </c>
      <c r="G26">
        <f t="shared" si="0"/>
        <v>25276</v>
      </c>
      <c r="H26">
        <f t="shared" si="1"/>
        <v>53646</v>
      </c>
    </row>
    <row r="27" spans="1:8" x14ac:dyDescent="0.25">
      <c r="A27" t="s">
        <v>40</v>
      </c>
      <c r="B27" s="1">
        <v>45889.868518518517</v>
      </c>
      <c r="C27" t="s">
        <v>14</v>
      </c>
      <c r="D27">
        <v>0</v>
      </c>
      <c r="E27">
        <v>145</v>
      </c>
      <c r="F27">
        <v>700</v>
      </c>
      <c r="G27">
        <f t="shared" si="0"/>
        <v>25276</v>
      </c>
      <c r="H27">
        <f t="shared" si="1"/>
        <v>53646</v>
      </c>
    </row>
    <row r="28" spans="1:8" x14ac:dyDescent="0.25">
      <c r="A28" t="s">
        <v>41</v>
      </c>
      <c r="B28" s="1">
        <v>45889.854756944442</v>
      </c>
      <c r="C28" t="s">
        <v>16</v>
      </c>
      <c r="D28">
        <v>0</v>
      </c>
      <c r="E28">
        <v>3155</v>
      </c>
      <c r="F28">
        <v>845</v>
      </c>
      <c r="G28">
        <f t="shared" si="0"/>
        <v>25276</v>
      </c>
      <c r="H28">
        <f t="shared" si="1"/>
        <v>53646</v>
      </c>
    </row>
    <row r="29" spans="1:8" x14ac:dyDescent="0.25">
      <c r="A29" t="s">
        <v>42</v>
      </c>
      <c r="B29" s="1">
        <v>45889.619791666664</v>
      </c>
      <c r="C29" t="s">
        <v>27</v>
      </c>
      <c r="D29">
        <v>0</v>
      </c>
      <c r="E29">
        <v>30</v>
      </c>
      <c r="F29">
        <v>4000</v>
      </c>
      <c r="G29">
        <f t="shared" si="0"/>
        <v>25276</v>
      </c>
      <c r="H29">
        <f t="shared" si="1"/>
        <v>53646</v>
      </c>
    </row>
    <row r="30" spans="1:8" x14ac:dyDescent="0.25">
      <c r="A30" t="s">
        <v>43</v>
      </c>
      <c r="B30" s="1">
        <v>45889.618043981478</v>
      </c>
      <c r="C30" t="s">
        <v>44</v>
      </c>
      <c r="D30">
        <v>1</v>
      </c>
      <c r="E30">
        <v>0</v>
      </c>
      <c r="F30">
        <v>4030</v>
      </c>
      <c r="G30">
        <f t="shared" si="0"/>
        <v>25276</v>
      </c>
      <c r="H30">
        <f t="shared" si="1"/>
        <v>53646</v>
      </c>
    </row>
    <row r="31" spans="1:8" x14ac:dyDescent="0.25">
      <c r="A31" t="s">
        <v>45</v>
      </c>
      <c r="B31" s="1">
        <v>45888.807847222219</v>
      </c>
      <c r="C31" t="s">
        <v>46</v>
      </c>
      <c r="D31">
        <v>0</v>
      </c>
      <c r="E31">
        <v>40</v>
      </c>
      <c r="F31">
        <v>4029</v>
      </c>
      <c r="G31">
        <f t="shared" si="0"/>
        <v>25276</v>
      </c>
      <c r="H31">
        <f t="shared" si="1"/>
        <v>53646</v>
      </c>
    </row>
    <row r="32" spans="1:8" x14ac:dyDescent="0.25">
      <c r="A32" t="s">
        <v>47</v>
      </c>
      <c r="B32" s="1">
        <v>45888.566354166665</v>
      </c>
      <c r="C32" t="s">
        <v>48</v>
      </c>
      <c r="D32">
        <v>0</v>
      </c>
      <c r="E32">
        <v>70</v>
      </c>
      <c r="F32">
        <v>4069</v>
      </c>
      <c r="G32">
        <f t="shared" si="0"/>
        <v>25276</v>
      </c>
      <c r="H32">
        <f t="shared" si="1"/>
        <v>53646</v>
      </c>
    </row>
    <row r="33" spans="1:8" x14ac:dyDescent="0.25">
      <c r="A33" t="s">
        <v>49</v>
      </c>
      <c r="B33" s="1">
        <v>45888.440879629627</v>
      </c>
      <c r="C33" t="s">
        <v>18</v>
      </c>
      <c r="D33">
        <v>0</v>
      </c>
      <c r="E33">
        <v>40</v>
      </c>
      <c r="F33">
        <v>4139</v>
      </c>
      <c r="G33">
        <f t="shared" si="0"/>
        <v>25276</v>
      </c>
      <c r="H33">
        <f t="shared" si="1"/>
        <v>53646</v>
      </c>
    </row>
    <row r="34" spans="1:8" x14ac:dyDescent="0.25">
      <c r="A34" t="s">
        <v>50</v>
      </c>
      <c r="B34" s="1">
        <v>45888.37226851852</v>
      </c>
      <c r="C34" t="s">
        <v>27</v>
      </c>
      <c r="D34">
        <v>0</v>
      </c>
      <c r="E34">
        <v>30</v>
      </c>
      <c r="F34">
        <v>4179</v>
      </c>
      <c r="G34">
        <f t="shared" si="0"/>
        <v>25276</v>
      </c>
      <c r="H34">
        <f t="shared" si="1"/>
        <v>53646</v>
      </c>
    </row>
    <row r="35" spans="1:8" x14ac:dyDescent="0.25">
      <c r="A35" t="s">
        <v>51</v>
      </c>
      <c r="B35" s="1">
        <v>45887.832071759258</v>
      </c>
      <c r="C35" t="s">
        <v>52</v>
      </c>
      <c r="D35">
        <v>200</v>
      </c>
      <c r="E35">
        <v>0</v>
      </c>
      <c r="F35">
        <v>4209</v>
      </c>
      <c r="G35">
        <f t="shared" si="0"/>
        <v>25276</v>
      </c>
      <c r="H35">
        <f t="shared" si="1"/>
        <v>53646</v>
      </c>
    </row>
    <row r="36" spans="1:8" x14ac:dyDescent="0.25">
      <c r="A36" t="s">
        <v>53</v>
      </c>
      <c r="B36" s="1">
        <v>45887.800393518519</v>
      </c>
      <c r="C36" t="s">
        <v>18</v>
      </c>
      <c r="D36">
        <v>0</v>
      </c>
      <c r="E36">
        <v>35</v>
      </c>
      <c r="F36">
        <v>4009</v>
      </c>
      <c r="G36">
        <f t="shared" si="0"/>
        <v>25276</v>
      </c>
      <c r="H36">
        <f t="shared" si="1"/>
        <v>53646</v>
      </c>
    </row>
    <row r="37" spans="1:8" x14ac:dyDescent="0.25">
      <c r="A37" t="s">
        <v>54</v>
      </c>
      <c r="B37" s="1">
        <v>45887.394201388888</v>
      </c>
      <c r="C37" t="s">
        <v>18</v>
      </c>
      <c r="D37">
        <v>0</v>
      </c>
      <c r="E37">
        <v>25</v>
      </c>
      <c r="F37">
        <v>4044</v>
      </c>
      <c r="G37">
        <f t="shared" si="0"/>
        <v>25276</v>
      </c>
      <c r="H37">
        <f t="shared" si="1"/>
        <v>53646</v>
      </c>
    </row>
    <row r="38" spans="1:8" x14ac:dyDescent="0.25">
      <c r="A38" t="s">
        <v>55</v>
      </c>
      <c r="B38" s="1">
        <v>45886.987372685187</v>
      </c>
      <c r="C38" t="s">
        <v>27</v>
      </c>
      <c r="D38">
        <v>0</v>
      </c>
      <c r="E38">
        <v>30</v>
      </c>
      <c r="F38">
        <v>4069</v>
      </c>
      <c r="G38">
        <f t="shared" si="0"/>
        <v>25276</v>
      </c>
      <c r="H38">
        <f t="shared" si="1"/>
        <v>53646</v>
      </c>
    </row>
    <row r="39" spans="1:8" x14ac:dyDescent="0.25">
      <c r="A39" t="s">
        <v>56</v>
      </c>
      <c r="B39" s="1">
        <v>45886.906087962961</v>
      </c>
      <c r="C39" t="s">
        <v>44</v>
      </c>
      <c r="D39">
        <v>70</v>
      </c>
      <c r="E39">
        <v>0</v>
      </c>
      <c r="F39">
        <v>4099</v>
      </c>
      <c r="G39">
        <f t="shared" si="0"/>
        <v>25276</v>
      </c>
      <c r="H39">
        <f t="shared" si="1"/>
        <v>53646</v>
      </c>
    </row>
    <row r="40" spans="1:8" x14ac:dyDescent="0.25">
      <c r="A40" t="s">
        <v>57</v>
      </c>
      <c r="B40" s="1">
        <v>45886.387974537036</v>
      </c>
      <c r="C40" t="s">
        <v>18</v>
      </c>
      <c r="D40">
        <v>0</v>
      </c>
      <c r="E40">
        <v>25</v>
      </c>
      <c r="F40">
        <v>4029</v>
      </c>
      <c r="G40">
        <f t="shared" si="0"/>
        <v>25276</v>
      </c>
      <c r="H40">
        <f t="shared" si="1"/>
        <v>53646</v>
      </c>
    </row>
    <row r="41" spans="1:8" x14ac:dyDescent="0.25">
      <c r="A41" t="s">
        <v>58</v>
      </c>
      <c r="B41" s="1">
        <v>45885.981620370374</v>
      </c>
      <c r="C41" t="s">
        <v>27</v>
      </c>
      <c r="D41">
        <v>0</v>
      </c>
      <c r="E41">
        <v>30</v>
      </c>
      <c r="F41">
        <v>4054</v>
      </c>
      <c r="G41">
        <f t="shared" si="0"/>
        <v>25276</v>
      </c>
      <c r="H41">
        <f t="shared" si="1"/>
        <v>53646</v>
      </c>
    </row>
    <row r="42" spans="1:8" x14ac:dyDescent="0.25">
      <c r="A42" t="s">
        <v>59</v>
      </c>
      <c r="B42" s="1">
        <v>45885.805312500001</v>
      </c>
      <c r="C42" t="s">
        <v>14</v>
      </c>
      <c r="D42">
        <v>0</v>
      </c>
      <c r="E42">
        <v>50</v>
      </c>
      <c r="F42">
        <v>4084</v>
      </c>
      <c r="G42">
        <f t="shared" si="0"/>
        <v>25276</v>
      </c>
      <c r="H42">
        <f t="shared" si="1"/>
        <v>53646</v>
      </c>
    </row>
    <row r="43" spans="1:8" x14ac:dyDescent="0.25">
      <c r="A43" t="s">
        <v>60</v>
      </c>
      <c r="B43" s="1">
        <v>45885.718761574077</v>
      </c>
      <c r="C43" t="s">
        <v>27</v>
      </c>
      <c r="D43">
        <v>0</v>
      </c>
      <c r="E43">
        <v>30</v>
      </c>
      <c r="F43">
        <v>4134</v>
      </c>
      <c r="G43">
        <f t="shared" si="0"/>
        <v>25276</v>
      </c>
      <c r="H43">
        <f t="shared" si="1"/>
        <v>53646</v>
      </c>
    </row>
    <row r="44" spans="1:8" x14ac:dyDescent="0.25">
      <c r="A44" t="s">
        <v>61</v>
      </c>
      <c r="B44" s="1">
        <v>45885.62226851852</v>
      </c>
      <c r="C44" t="s">
        <v>44</v>
      </c>
      <c r="D44">
        <v>100</v>
      </c>
      <c r="E44">
        <v>0</v>
      </c>
      <c r="F44">
        <v>4164</v>
      </c>
      <c r="G44">
        <f t="shared" si="0"/>
        <v>25276</v>
      </c>
      <c r="H44">
        <f t="shared" si="1"/>
        <v>53646</v>
      </c>
    </row>
    <row r="45" spans="1:8" x14ac:dyDescent="0.25">
      <c r="A45" t="s">
        <v>62</v>
      </c>
      <c r="B45" s="1">
        <v>45885.485543981478</v>
      </c>
      <c r="C45" t="s">
        <v>27</v>
      </c>
      <c r="D45">
        <v>0</v>
      </c>
      <c r="E45">
        <v>30</v>
      </c>
      <c r="F45">
        <v>4064</v>
      </c>
      <c r="G45">
        <f t="shared" si="0"/>
        <v>25276</v>
      </c>
      <c r="H45">
        <f t="shared" si="1"/>
        <v>53646</v>
      </c>
    </row>
    <row r="46" spans="1:8" x14ac:dyDescent="0.25">
      <c r="A46" t="s">
        <v>63</v>
      </c>
      <c r="B46" s="1">
        <v>45885.419212962966</v>
      </c>
      <c r="C46" t="s">
        <v>18</v>
      </c>
      <c r="D46">
        <v>0</v>
      </c>
      <c r="E46">
        <v>25</v>
      </c>
      <c r="F46">
        <v>4094</v>
      </c>
      <c r="G46">
        <f t="shared" si="0"/>
        <v>25276</v>
      </c>
      <c r="H46">
        <f t="shared" si="1"/>
        <v>53646</v>
      </c>
    </row>
    <row r="47" spans="1:8" x14ac:dyDescent="0.25">
      <c r="A47" t="s">
        <v>64</v>
      </c>
      <c r="B47" s="1">
        <v>45884.748182870368</v>
      </c>
      <c r="C47" t="s">
        <v>27</v>
      </c>
      <c r="D47">
        <v>0</v>
      </c>
      <c r="E47">
        <v>30</v>
      </c>
      <c r="F47">
        <v>4119</v>
      </c>
      <c r="G47">
        <f t="shared" si="0"/>
        <v>25276</v>
      </c>
      <c r="H47">
        <f t="shared" si="1"/>
        <v>53646</v>
      </c>
    </row>
    <row r="48" spans="1:8" x14ac:dyDescent="0.25">
      <c r="A48" t="s">
        <v>65</v>
      </c>
      <c r="B48" s="1">
        <v>45884.70171296296</v>
      </c>
      <c r="C48" t="s">
        <v>66</v>
      </c>
      <c r="D48">
        <v>0</v>
      </c>
      <c r="E48">
        <v>11</v>
      </c>
      <c r="F48">
        <v>4149</v>
      </c>
      <c r="G48">
        <f t="shared" si="0"/>
        <v>25276</v>
      </c>
      <c r="H48">
        <f t="shared" si="1"/>
        <v>53646</v>
      </c>
    </row>
    <row r="49" spans="1:8" x14ac:dyDescent="0.25">
      <c r="A49" t="s">
        <v>67</v>
      </c>
      <c r="B49" s="1">
        <v>45884.660821759258</v>
      </c>
      <c r="C49" t="s">
        <v>14</v>
      </c>
      <c r="D49">
        <v>0</v>
      </c>
      <c r="E49">
        <v>50</v>
      </c>
      <c r="F49">
        <v>4160</v>
      </c>
      <c r="G49">
        <f t="shared" si="0"/>
        <v>25276</v>
      </c>
      <c r="H49">
        <f t="shared" si="1"/>
        <v>53646</v>
      </c>
    </row>
    <row r="50" spans="1:8" x14ac:dyDescent="0.25">
      <c r="A50" t="s">
        <v>68</v>
      </c>
      <c r="B50" s="1">
        <v>45884.658125000002</v>
      </c>
      <c r="C50" t="s">
        <v>48</v>
      </c>
      <c r="D50">
        <v>0</v>
      </c>
      <c r="E50">
        <v>40</v>
      </c>
      <c r="F50">
        <v>4210</v>
      </c>
      <c r="G50">
        <f t="shared" si="0"/>
        <v>25276</v>
      </c>
      <c r="H50">
        <f t="shared" si="1"/>
        <v>53646</v>
      </c>
    </row>
    <row r="51" spans="1:8" x14ac:dyDescent="0.25">
      <c r="A51" t="s">
        <v>69</v>
      </c>
      <c r="B51" s="1">
        <v>45884.657164351855</v>
      </c>
      <c r="C51" t="s">
        <v>70</v>
      </c>
      <c r="D51">
        <v>0</v>
      </c>
      <c r="E51">
        <v>20</v>
      </c>
      <c r="F51">
        <v>4250</v>
      </c>
      <c r="G51">
        <f t="shared" si="0"/>
        <v>25276</v>
      </c>
      <c r="H51">
        <f t="shared" si="1"/>
        <v>53646</v>
      </c>
    </row>
    <row r="52" spans="1:8" x14ac:dyDescent="0.25">
      <c r="A52" t="s">
        <v>71</v>
      </c>
      <c r="B52" s="1">
        <v>45884.531724537039</v>
      </c>
      <c r="C52" t="s">
        <v>27</v>
      </c>
      <c r="D52">
        <v>0</v>
      </c>
      <c r="E52">
        <v>30</v>
      </c>
      <c r="F52">
        <v>4270</v>
      </c>
      <c r="G52">
        <f t="shared" si="0"/>
        <v>25276</v>
      </c>
      <c r="H52">
        <f t="shared" si="1"/>
        <v>53646</v>
      </c>
    </row>
    <row r="53" spans="1:8" x14ac:dyDescent="0.25">
      <c r="A53" t="s">
        <v>72</v>
      </c>
      <c r="B53" s="1">
        <v>45884.448298611111</v>
      </c>
      <c r="C53" t="s">
        <v>16</v>
      </c>
      <c r="D53">
        <v>0</v>
      </c>
      <c r="E53">
        <v>75</v>
      </c>
      <c r="F53">
        <v>4300</v>
      </c>
      <c r="G53">
        <f t="shared" si="0"/>
        <v>25276</v>
      </c>
      <c r="H53">
        <f t="shared" si="1"/>
        <v>53646</v>
      </c>
    </row>
    <row r="54" spans="1:8" x14ac:dyDescent="0.25">
      <c r="A54" t="s">
        <v>73</v>
      </c>
      <c r="B54" s="1">
        <v>45884.438217592593</v>
      </c>
      <c r="C54" t="s">
        <v>74</v>
      </c>
      <c r="D54">
        <v>41</v>
      </c>
      <c r="E54">
        <v>0</v>
      </c>
      <c r="F54">
        <v>4375</v>
      </c>
      <c r="G54">
        <f t="shared" si="0"/>
        <v>25276</v>
      </c>
      <c r="H54">
        <f t="shared" si="1"/>
        <v>53646</v>
      </c>
    </row>
    <row r="55" spans="1:8" x14ac:dyDescent="0.25">
      <c r="A55" t="s">
        <v>75</v>
      </c>
      <c r="B55" s="1">
        <v>45883.809027777781</v>
      </c>
      <c r="C55" t="s">
        <v>76</v>
      </c>
      <c r="D55">
        <v>0</v>
      </c>
      <c r="E55">
        <v>35</v>
      </c>
      <c r="F55">
        <v>4334</v>
      </c>
      <c r="G55">
        <f t="shared" si="0"/>
        <v>25276</v>
      </c>
      <c r="H55">
        <f t="shared" si="1"/>
        <v>53646</v>
      </c>
    </row>
    <row r="56" spans="1:8" x14ac:dyDescent="0.25">
      <c r="A56" t="s">
        <v>77</v>
      </c>
      <c r="B56" s="1">
        <v>45883.522129629629</v>
      </c>
      <c r="C56" t="s">
        <v>27</v>
      </c>
      <c r="D56">
        <v>0</v>
      </c>
      <c r="E56">
        <v>30</v>
      </c>
      <c r="F56">
        <v>4369</v>
      </c>
      <c r="G56">
        <f t="shared" si="0"/>
        <v>25276</v>
      </c>
      <c r="H56">
        <f t="shared" si="1"/>
        <v>53646</v>
      </c>
    </row>
    <row r="57" spans="1:8" x14ac:dyDescent="0.25">
      <c r="A57" t="s">
        <v>78</v>
      </c>
      <c r="B57" s="1">
        <v>45883.489571759259</v>
      </c>
      <c r="C57" t="s">
        <v>79</v>
      </c>
      <c r="D57">
        <v>0</v>
      </c>
      <c r="E57">
        <v>30</v>
      </c>
      <c r="F57">
        <v>4399</v>
      </c>
      <c r="G57">
        <f t="shared" si="0"/>
        <v>25276</v>
      </c>
      <c r="H57">
        <f t="shared" si="1"/>
        <v>53646</v>
      </c>
    </row>
    <row r="58" spans="1:8" x14ac:dyDescent="0.25">
      <c r="A58" t="s">
        <v>80</v>
      </c>
      <c r="B58" s="1">
        <v>45882.914351851854</v>
      </c>
      <c r="C58" t="s">
        <v>27</v>
      </c>
      <c r="D58">
        <v>0</v>
      </c>
      <c r="E58">
        <v>30</v>
      </c>
      <c r="F58">
        <v>4429</v>
      </c>
      <c r="G58">
        <f t="shared" si="0"/>
        <v>25276</v>
      </c>
      <c r="H58">
        <f t="shared" si="1"/>
        <v>53646</v>
      </c>
    </row>
    <row r="59" spans="1:8" x14ac:dyDescent="0.25">
      <c r="A59" t="s">
        <v>81</v>
      </c>
      <c r="B59" s="1">
        <v>45882.80537037037</v>
      </c>
      <c r="C59" t="s">
        <v>82</v>
      </c>
      <c r="D59">
        <v>0</v>
      </c>
      <c r="E59">
        <v>25</v>
      </c>
      <c r="F59">
        <v>4459</v>
      </c>
      <c r="G59">
        <f t="shared" si="0"/>
        <v>25276</v>
      </c>
      <c r="H59">
        <f t="shared" si="1"/>
        <v>53646</v>
      </c>
    </row>
    <row r="60" spans="1:8" x14ac:dyDescent="0.25">
      <c r="A60" t="s">
        <v>83</v>
      </c>
      <c r="B60" s="1">
        <v>45882.580196759256</v>
      </c>
      <c r="C60" t="s">
        <v>16</v>
      </c>
      <c r="D60">
        <v>0</v>
      </c>
      <c r="E60">
        <v>15</v>
      </c>
      <c r="F60">
        <v>4484</v>
      </c>
      <c r="G60">
        <f t="shared" si="0"/>
        <v>25276</v>
      </c>
      <c r="H60">
        <f t="shared" si="1"/>
        <v>53646</v>
      </c>
    </row>
    <row r="61" spans="1:8" x14ac:dyDescent="0.25">
      <c r="A61" t="s">
        <v>84</v>
      </c>
      <c r="B61" s="1">
        <v>45882.578553240739</v>
      </c>
      <c r="C61" t="s">
        <v>48</v>
      </c>
      <c r="D61">
        <v>0</v>
      </c>
      <c r="E61">
        <v>40</v>
      </c>
      <c r="F61">
        <v>4499</v>
      </c>
      <c r="G61">
        <f t="shared" si="0"/>
        <v>25276</v>
      </c>
      <c r="H61">
        <f t="shared" si="1"/>
        <v>53646</v>
      </c>
    </row>
    <row r="62" spans="1:8" x14ac:dyDescent="0.25">
      <c r="A62" t="s">
        <v>85</v>
      </c>
      <c r="B62" s="1">
        <v>45882.394259259258</v>
      </c>
      <c r="C62" t="s">
        <v>27</v>
      </c>
      <c r="D62">
        <v>0</v>
      </c>
      <c r="E62">
        <v>30</v>
      </c>
      <c r="F62">
        <v>4539</v>
      </c>
      <c r="G62">
        <f t="shared" si="0"/>
        <v>25276</v>
      </c>
      <c r="H62">
        <f t="shared" si="1"/>
        <v>53646</v>
      </c>
    </row>
    <row r="63" spans="1:8" x14ac:dyDescent="0.25">
      <c r="A63" t="s">
        <v>86</v>
      </c>
      <c r="B63" s="1">
        <v>45881.862141203703</v>
      </c>
      <c r="C63" t="s">
        <v>27</v>
      </c>
      <c r="D63">
        <v>0</v>
      </c>
      <c r="E63">
        <v>30</v>
      </c>
      <c r="F63">
        <v>4569</v>
      </c>
      <c r="G63">
        <f t="shared" si="0"/>
        <v>25276</v>
      </c>
      <c r="H63">
        <f t="shared" si="1"/>
        <v>53646</v>
      </c>
    </row>
    <row r="64" spans="1:8" x14ac:dyDescent="0.25">
      <c r="A64" t="s">
        <v>87</v>
      </c>
      <c r="B64" s="1">
        <v>45881.719467592593</v>
      </c>
      <c r="C64" t="s">
        <v>16</v>
      </c>
      <c r="D64">
        <v>0</v>
      </c>
      <c r="E64">
        <v>135</v>
      </c>
      <c r="F64">
        <v>4599</v>
      </c>
      <c r="G64">
        <f t="shared" si="0"/>
        <v>25276</v>
      </c>
      <c r="H64">
        <f t="shared" si="1"/>
        <v>53646</v>
      </c>
    </row>
    <row r="65" spans="1:8" x14ac:dyDescent="0.25">
      <c r="A65" t="s">
        <v>88</v>
      </c>
      <c r="B65" s="1">
        <v>45881.718969907408</v>
      </c>
      <c r="C65" t="s">
        <v>14</v>
      </c>
      <c r="D65">
        <v>0</v>
      </c>
      <c r="E65">
        <v>45</v>
      </c>
      <c r="F65">
        <v>4734</v>
      </c>
      <c r="G65">
        <f t="shared" si="0"/>
        <v>25276</v>
      </c>
      <c r="H65">
        <f t="shared" si="1"/>
        <v>53646</v>
      </c>
    </row>
    <row r="66" spans="1:8" x14ac:dyDescent="0.25">
      <c r="A66" t="s">
        <v>89</v>
      </c>
      <c r="B66" s="1">
        <v>45881.695543981485</v>
      </c>
      <c r="C66" t="s">
        <v>90</v>
      </c>
      <c r="D66">
        <v>0</v>
      </c>
      <c r="E66">
        <v>17</v>
      </c>
      <c r="F66">
        <v>4779</v>
      </c>
      <c r="G66">
        <f t="shared" ref="G66:G129" si="2">SUM(E:E)</f>
        <v>25276</v>
      </c>
      <c r="H66">
        <f t="shared" ref="H66:H129" si="3">SUM(D:D)</f>
        <v>53646</v>
      </c>
    </row>
    <row r="67" spans="1:8" x14ac:dyDescent="0.25">
      <c r="A67" t="s">
        <v>91</v>
      </c>
      <c r="B67" s="1">
        <v>45881.646678240744</v>
      </c>
      <c r="C67" t="s">
        <v>27</v>
      </c>
      <c r="D67">
        <v>0</v>
      </c>
      <c r="E67">
        <v>30</v>
      </c>
      <c r="F67">
        <v>4796</v>
      </c>
      <c r="G67">
        <f t="shared" si="2"/>
        <v>25276</v>
      </c>
      <c r="H67">
        <f t="shared" si="3"/>
        <v>53646</v>
      </c>
    </row>
    <row r="68" spans="1:8" x14ac:dyDescent="0.25">
      <c r="A68" t="s">
        <v>92</v>
      </c>
      <c r="B68" s="1">
        <v>45881.49927083333</v>
      </c>
      <c r="C68" t="s">
        <v>16</v>
      </c>
      <c r="D68">
        <v>0</v>
      </c>
      <c r="E68">
        <v>25</v>
      </c>
      <c r="F68">
        <v>4826</v>
      </c>
      <c r="G68">
        <f t="shared" si="2"/>
        <v>25276</v>
      </c>
      <c r="H68">
        <f t="shared" si="3"/>
        <v>53646</v>
      </c>
    </row>
    <row r="69" spans="1:8" x14ac:dyDescent="0.25">
      <c r="A69" t="s">
        <v>93</v>
      </c>
      <c r="B69" s="1">
        <v>45880.927106481482</v>
      </c>
      <c r="C69" t="s">
        <v>90</v>
      </c>
      <c r="D69">
        <v>0</v>
      </c>
      <c r="E69">
        <v>22</v>
      </c>
      <c r="F69">
        <v>4851</v>
      </c>
      <c r="G69">
        <f t="shared" si="2"/>
        <v>25276</v>
      </c>
      <c r="H69">
        <f t="shared" si="3"/>
        <v>53646</v>
      </c>
    </row>
    <row r="70" spans="1:8" x14ac:dyDescent="0.25">
      <c r="A70" t="s">
        <v>94</v>
      </c>
      <c r="B70" s="1">
        <v>45880.915694444448</v>
      </c>
      <c r="C70" t="s">
        <v>27</v>
      </c>
      <c r="D70">
        <v>0</v>
      </c>
      <c r="E70">
        <v>30</v>
      </c>
      <c r="F70">
        <v>4873</v>
      </c>
      <c r="G70">
        <f t="shared" si="2"/>
        <v>25276</v>
      </c>
      <c r="H70">
        <f t="shared" si="3"/>
        <v>53646</v>
      </c>
    </row>
    <row r="71" spans="1:8" x14ac:dyDescent="0.25">
      <c r="A71" t="s">
        <v>95</v>
      </c>
      <c r="B71" s="1">
        <v>45880.806122685186</v>
      </c>
      <c r="C71" t="s">
        <v>82</v>
      </c>
      <c r="D71">
        <v>0</v>
      </c>
      <c r="E71">
        <v>25</v>
      </c>
      <c r="F71">
        <v>4903</v>
      </c>
      <c r="G71">
        <f t="shared" si="2"/>
        <v>25276</v>
      </c>
      <c r="H71">
        <f t="shared" si="3"/>
        <v>53646</v>
      </c>
    </row>
    <row r="72" spans="1:8" x14ac:dyDescent="0.25">
      <c r="A72" t="s">
        <v>96</v>
      </c>
      <c r="B72" s="1">
        <v>45880.80369212963</v>
      </c>
      <c r="C72" t="s">
        <v>16</v>
      </c>
      <c r="D72">
        <v>0</v>
      </c>
      <c r="E72">
        <v>160</v>
      </c>
      <c r="F72">
        <v>4928</v>
      </c>
      <c r="G72">
        <f t="shared" si="2"/>
        <v>25276</v>
      </c>
      <c r="H72">
        <f t="shared" si="3"/>
        <v>53646</v>
      </c>
    </row>
    <row r="73" spans="1:8" x14ac:dyDescent="0.25">
      <c r="A73" t="s">
        <v>97</v>
      </c>
      <c r="B73" s="1">
        <v>45880.631226851852</v>
      </c>
      <c r="C73" t="s">
        <v>16</v>
      </c>
      <c r="D73">
        <v>0</v>
      </c>
      <c r="E73">
        <v>265</v>
      </c>
      <c r="F73">
        <v>5088</v>
      </c>
      <c r="G73">
        <f t="shared" si="2"/>
        <v>25276</v>
      </c>
      <c r="H73">
        <f t="shared" si="3"/>
        <v>53646</v>
      </c>
    </row>
    <row r="74" spans="1:8" x14ac:dyDescent="0.25">
      <c r="A74" t="s">
        <v>98</v>
      </c>
      <c r="B74" s="1">
        <v>45880.616087962961</v>
      </c>
      <c r="C74" t="s">
        <v>99</v>
      </c>
      <c r="D74">
        <v>0</v>
      </c>
      <c r="E74">
        <v>100</v>
      </c>
      <c r="F74">
        <v>5353</v>
      </c>
      <c r="G74">
        <f t="shared" si="2"/>
        <v>25276</v>
      </c>
      <c r="H74">
        <f t="shared" si="3"/>
        <v>53646</v>
      </c>
    </row>
    <row r="75" spans="1:8" x14ac:dyDescent="0.25">
      <c r="A75" t="s">
        <v>100</v>
      </c>
      <c r="B75" s="1">
        <v>45880.614421296297</v>
      </c>
      <c r="C75" t="s">
        <v>101</v>
      </c>
      <c r="D75">
        <v>0</v>
      </c>
      <c r="E75">
        <v>11</v>
      </c>
      <c r="F75">
        <v>5453</v>
      </c>
      <c r="G75">
        <f t="shared" si="2"/>
        <v>25276</v>
      </c>
      <c r="H75">
        <f t="shared" si="3"/>
        <v>53646</v>
      </c>
    </row>
    <row r="76" spans="1:8" x14ac:dyDescent="0.25">
      <c r="A76" t="s">
        <v>102</v>
      </c>
      <c r="B76" s="1">
        <v>45880.46130787037</v>
      </c>
      <c r="C76" t="s">
        <v>25</v>
      </c>
      <c r="D76">
        <v>5420</v>
      </c>
      <c r="E76">
        <v>0</v>
      </c>
      <c r="F76">
        <v>5464</v>
      </c>
      <c r="G76">
        <f t="shared" si="2"/>
        <v>25276</v>
      </c>
      <c r="H76">
        <f t="shared" si="3"/>
        <v>53646</v>
      </c>
    </row>
    <row r="77" spans="1:8" x14ac:dyDescent="0.25">
      <c r="A77" t="s">
        <v>103</v>
      </c>
      <c r="B77" s="1">
        <v>45880.401944444442</v>
      </c>
      <c r="C77" t="s">
        <v>18</v>
      </c>
      <c r="D77">
        <v>0</v>
      </c>
      <c r="E77">
        <v>50</v>
      </c>
      <c r="F77">
        <v>44</v>
      </c>
      <c r="G77">
        <f t="shared" si="2"/>
        <v>25276</v>
      </c>
      <c r="H77">
        <f t="shared" si="3"/>
        <v>53646</v>
      </c>
    </row>
    <row r="78" spans="1:8" x14ac:dyDescent="0.25">
      <c r="A78" t="s">
        <v>104</v>
      </c>
      <c r="B78" s="1">
        <v>45879.912534722222</v>
      </c>
      <c r="C78" t="s">
        <v>27</v>
      </c>
      <c r="D78">
        <v>0</v>
      </c>
      <c r="E78">
        <v>30</v>
      </c>
      <c r="F78">
        <v>94</v>
      </c>
      <c r="G78">
        <f t="shared" si="2"/>
        <v>25276</v>
      </c>
      <c r="H78">
        <f t="shared" si="3"/>
        <v>53646</v>
      </c>
    </row>
    <row r="79" spans="1:8" x14ac:dyDescent="0.25">
      <c r="A79" t="s">
        <v>105</v>
      </c>
      <c r="B79" s="1">
        <v>45879.848715277774</v>
      </c>
      <c r="C79" t="s">
        <v>44</v>
      </c>
      <c r="D79">
        <v>100</v>
      </c>
      <c r="E79">
        <v>0</v>
      </c>
      <c r="F79">
        <v>124</v>
      </c>
      <c r="G79">
        <f t="shared" si="2"/>
        <v>25276</v>
      </c>
      <c r="H79">
        <f t="shared" si="3"/>
        <v>53646</v>
      </c>
    </row>
    <row r="80" spans="1:8" x14ac:dyDescent="0.25">
      <c r="A80" t="s">
        <v>106</v>
      </c>
      <c r="B80" s="1">
        <v>45879.842569444445</v>
      </c>
      <c r="C80" t="s">
        <v>16</v>
      </c>
      <c r="D80">
        <v>0</v>
      </c>
      <c r="E80">
        <v>45</v>
      </c>
      <c r="F80">
        <v>24</v>
      </c>
      <c r="G80">
        <f t="shared" si="2"/>
        <v>25276</v>
      </c>
      <c r="H80">
        <f t="shared" si="3"/>
        <v>53646</v>
      </c>
    </row>
    <row r="81" spans="1:8" x14ac:dyDescent="0.25">
      <c r="A81" t="s">
        <v>107</v>
      </c>
      <c r="B81" s="1">
        <v>45879.555208333331</v>
      </c>
      <c r="C81" t="s">
        <v>27</v>
      </c>
      <c r="D81">
        <v>0</v>
      </c>
      <c r="E81">
        <v>30</v>
      </c>
      <c r="F81">
        <v>69</v>
      </c>
      <c r="G81">
        <f t="shared" si="2"/>
        <v>25276</v>
      </c>
      <c r="H81">
        <f t="shared" si="3"/>
        <v>53646</v>
      </c>
    </row>
    <row r="82" spans="1:8" x14ac:dyDescent="0.25">
      <c r="A82" t="s">
        <v>108</v>
      </c>
      <c r="B82" s="1">
        <v>45879.452592592592</v>
      </c>
      <c r="C82" t="s">
        <v>18</v>
      </c>
      <c r="D82">
        <v>0</v>
      </c>
      <c r="E82">
        <v>25</v>
      </c>
      <c r="F82">
        <v>99</v>
      </c>
      <c r="G82">
        <f t="shared" si="2"/>
        <v>25276</v>
      </c>
      <c r="H82">
        <f t="shared" si="3"/>
        <v>53646</v>
      </c>
    </row>
    <row r="83" spans="1:8" x14ac:dyDescent="0.25">
      <c r="A83" t="s">
        <v>109</v>
      </c>
      <c r="B83" s="1">
        <v>45879.411226851851</v>
      </c>
      <c r="C83" t="s">
        <v>16</v>
      </c>
      <c r="D83">
        <v>0</v>
      </c>
      <c r="E83">
        <v>30</v>
      </c>
      <c r="F83">
        <v>124</v>
      </c>
      <c r="G83">
        <f t="shared" si="2"/>
        <v>25276</v>
      </c>
      <c r="H83">
        <f t="shared" si="3"/>
        <v>53646</v>
      </c>
    </row>
    <row r="84" spans="1:8" x14ac:dyDescent="0.25">
      <c r="A84" t="s">
        <v>110</v>
      </c>
      <c r="B84" s="1">
        <v>45878.893622685187</v>
      </c>
      <c r="C84" t="s">
        <v>111</v>
      </c>
      <c r="D84">
        <v>100</v>
      </c>
      <c r="E84">
        <v>0</v>
      </c>
      <c r="F84">
        <v>154</v>
      </c>
      <c r="G84">
        <f t="shared" si="2"/>
        <v>25276</v>
      </c>
      <c r="H84">
        <f t="shared" si="3"/>
        <v>53646</v>
      </c>
    </row>
    <row r="85" spans="1:8" x14ac:dyDescent="0.25">
      <c r="A85" t="s">
        <v>112</v>
      </c>
      <c r="B85" s="1">
        <v>45878.611018518517</v>
      </c>
      <c r="C85" t="s">
        <v>27</v>
      </c>
      <c r="D85">
        <v>0</v>
      </c>
      <c r="E85">
        <v>30</v>
      </c>
      <c r="F85">
        <v>54</v>
      </c>
      <c r="G85">
        <f t="shared" si="2"/>
        <v>25276</v>
      </c>
      <c r="H85">
        <f t="shared" si="3"/>
        <v>53646</v>
      </c>
    </row>
    <row r="86" spans="1:8" x14ac:dyDescent="0.25">
      <c r="A86" t="s">
        <v>113</v>
      </c>
      <c r="B86" s="1">
        <v>45878.536168981482</v>
      </c>
      <c r="C86" t="s">
        <v>114</v>
      </c>
      <c r="D86">
        <v>0</v>
      </c>
      <c r="E86">
        <v>5</v>
      </c>
      <c r="F86">
        <v>84</v>
      </c>
      <c r="G86">
        <f t="shared" si="2"/>
        <v>25276</v>
      </c>
      <c r="H86">
        <f t="shared" si="3"/>
        <v>53646</v>
      </c>
    </row>
    <row r="87" spans="1:8" x14ac:dyDescent="0.25">
      <c r="A87" t="s">
        <v>115</v>
      </c>
      <c r="B87" s="1">
        <v>45878.527291666665</v>
      </c>
      <c r="C87" t="s">
        <v>52</v>
      </c>
      <c r="D87">
        <v>80</v>
      </c>
      <c r="E87">
        <v>0</v>
      </c>
      <c r="F87">
        <v>89</v>
      </c>
      <c r="G87">
        <f t="shared" si="2"/>
        <v>25276</v>
      </c>
      <c r="H87">
        <f t="shared" si="3"/>
        <v>53646</v>
      </c>
    </row>
    <row r="88" spans="1:8" x14ac:dyDescent="0.25">
      <c r="A88" t="s">
        <v>116</v>
      </c>
      <c r="B88" s="1">
        <v>45878.467743055553</v>
      </c>
      <c r="C88" t="s">
        <v>18</v>
      </c>
      <c r="D88">
        <v>0</v>
      </c>
      <c r="E88">
        <v>20</v>
      </c>
      <c r="F88">
        <v>9</v>
      </c>
      <c r="G88">
        <f t="shared" si="2"/>
        <v>25276</v>
      </c>
      <c r="H88">
        <f t="shared" si="3"/>
        <v>53646</v>
      </c>
    </row>
    <row r="89" spans="1:8" x14ac:dyDescent="0.25">
      <c r="A89" t="s">
        <v>117</v>
      </c>
      <c r="B89" s="1">
        <v>45878.441655092596</v>
      </c>
      <c r="C89" t="s">
        <v>118</v>
      </c>
      <c r="D89">
        <v>0</v>
      </c>
      <c r="E89">
        <v>3</v>
      </c>
      <c r="F89">
        <v>29</v>
      </c>
      <c r="G89">
        <f t="shared" si="2"/>
        <v>25276</v>
      </c>
      <c r="H89">
        <f t="shared" si="3"/>
        <v>53646</v>
      </c>
    </row>
    <row r="90" spans="1:8" x14ac:dyDescent="0.25">
      <c r="A90" t="s">
        <v>119</v>
      </c>
      <c r="B90" s="1">
        <v>45877.614166666666</v>
      </c>
      <c r="C90" t="s">
        <v>14</v>
      </c>
      <c r="D90">
        <v>0</v>
      </c>
      <c r="E90">
        <v>100</v>
      </c>
      <c r="F90">
        <v>32</v>
      </c>
      <c r="G90">
        <f t="shared" si="2"/>
        <v>25276</v>
      </c>
      <c r="H90">
        <f t="shared" si="3"/>
        <v>53646</v>
      </c>
    </row>
    <row r="91" spans="1:8" x14ac:dyDescent="0.25">
      <c r="A91" t="s">
        <v>120</v>
      </c>
      <c r="B91" s="1">
        <v>45877.607245370367</v>
      </c>
      <c r="C91" t="s">
        <v>27</v>
      </c>
      <c r="D91">
        <v>0</v>
      </c>
      <c r="E91">
        <v>30</v>
      </c>
      <c r="F91">
        <v>132</v>
      </c>
      <c r="G91">
        <f t="shared" si="2"/>
        <v>25276</v>
      </c>
      <c r="H91">
        <f t="shared" si="3"/>
        <v>53646</v>
      </c>
    </row>
    <row r="92" spans="1:8" x14ac:dyDescent="0.25">
      <c r="A92" t="s">
        <v>121</v>
      </c>
      <c r="B92" s="1">
        <v>45877.433518518519</v>
      </c>
      <c r="C92" t="s">
        <v>18</v>
      </c>
      <c r="D92">
        <v>0</v>
      </c>
      <c r="E92">
        <v>15</v>
      </c>
      <c r="F92">
        <v>162</v>
      </c>
      <c r="G92">
        <f t="shared" si="2"/>
        <v>25276</v>
      </c>
      <c r="H92">
        <f t="shared" si="3"/>
        <v>53646</v>
      </c>
    </row>
    <row r="93" spans="1:8" x14ac:dyDescent="0.25">
      <c r="A93" t="s">
        <v>122</v>
      </c>
      <c r="B93" s="1">
        <v>45877.364340277774</v>
      </c>
      <c r="C93" t="s">
        <v>52</v>
      </c>
      <c r="D93">
        <v>100</v>
      </c>
      <c r="E93">
        <v>0</v>
      </c>
      <c r="F93">
        <v>177</v>
      </c>
      <c r="G93">
        <f t="shared" si="2"/>
        <v>25276</v>
      </c>
      <c r="H93">
        <f t="shared" si="3"/>
        <v>53646</v>
      </c>
    </row>
    <row r="94" spans="1:8" x14ac:dyDescent="0.25">
      <c r="A94" t="s">
        <v>123</v>
      </c>
      <c r="B94" s="1">
        <v>45877.260462962964</v>
      </c>
      <c r="C94" t="s">
        <v>44</v>
      </c>
      <c r="D94">
        <v>57</v>
      </c>
      <c r="E94">
        <v>0</v>
      </c>
      <c r="F94">
        <v>77</v>
      </c>
      <c r="G94">
        <f t="shared" si="2"/>
        <v>25276</v>
      </c>
      <c r="H94">
        <f t="shared" si="3"/>
        <v>53646</v>
      </c>
    </row>
    <row r="95" spans="1:8" x14ac:dyDescent="0.25">
      <c r="A95" t="s">
        <v>124</v>
      </c>
      <c r="B95" s="1">
        <v>45876.803969907407</v>
      </c>
      <c r="C95" t="s">
        <v>14</v>
      </c>
      <c r="D95">
        <v>0</v>
      </c>
      <c r="E95">
        <v>25</v>
      </c>
      <c r="F95">
        <v>20</v>
      </c>
      <c r="G95">
        <f t="shared" si="2"/>
        <v>25276</v>
      </c>
      <c r="H95">
        <f t="shared" si="3"/>
        <v>53646</v>
      </c>
    </row>
    <row r="96" spans="1:8" x14ac:dyDescent="0.25">
      <c r="A96" t="s">
        <v>125</v>
      </c>
      <c r="B96" s="1">
        <v>45876.712789351855</v>
      </c>
      <c r="C96" t="s">
        <v>27</v>
      </c>
      <c r="D96">
        <v>0</v>
      </c>
      <c r="E96">
        <v>30</v>
      </c>
      <c r="F96">
        <v>45</v>
      </c>
      <c r="G96">
        <f t="shared" si="2"/>
        <v>25276</v>
      </c>
      <c r="H96">
        <f t="shared" si="3"/>
        <v>53646</v>
      </c>
    </row>
    <row r="97" spans="1:8" x14ac:dyDescent="0.25">
      <c r="A97" t="s">
        <v>126</v>
      </c>
      <c r="B97" s="1">
        <v>45876.623124999998</v>
      </c>
      <c r="C97" t="s">
        <v>118</v>
      </c>
      <c r="D97">
        <v>0</v>
      </c>
      <c r="E97">
        <v>3</v>
      </c>
      <c r="F97">
        <v>75</v>
      </c>
      <c r="G97">
        <f t="shared" si="2"/>
        <v>25276</v>
      </c>
      <c r="H97">
        <f t="shared" si="3"/>
        <v>53646</v>
      </c>
    </row>
    <row r="98" spans="1:8" x14ac:dyDescent="0.25">
      <c r="A98" t="s">
        <v>127</v>
      </c>
      <c r="B98" s="1">
        <v>45876.446192129632</v>
      </c>
      <c r="C98" t="s">
        <v>14</v>
      </c>
      <c r="D98">
        <v>0</v>
      </c>
      <c r="E98">
        <v>20</v>
      </c>
      <c r="F98">
        <v>78</v>
      </c>
      <c r="G98">
        <f t="shared" si="2"/>
        <v>25276</v>
      </c>
      <c r="H98">
        <f t="shared" si="3"/>
        <v>53646</v>
      </c>
    </row>
    <row r="99" spans="1:8" x14ac:dyDescent="0.25">
      <c r="A99" t="s">
        <v>128</v>
      </c>
      <c r="B99" s="1">
        <v>45876.445543981485</v>
      </c>
      <c r="C99" t="s">
        <v>18</v>
      </c>
      <c r="D99">
        <v>0</v>
      </c>
      <c r="E99">
        <v>25</v>
      </c>
      <c r="F99">
        <v>98</v>
      </c>
      <c r="G99">
        <f t="shared" si="2"/>
        <v>25276</v>
      </c>
      <c r="H99">
        <f t="shared" si="3"/>
        <v>53646</v>
      </c>
    </row>
    <row r="100" spans="1:8" x14ac:dyDescent="0.25">
      <c r="A100" t="s">
        <v>129</v>
      </c>
      <c r="B100" s="1">
        <v>45875.843344907407</v>
      </c>
      <c r="C100" t="s">
        <v>52</v>
      </c>
      <c r="D100">
        <v>100</v>
      </c>
      <c r="E100">
        <v>0</v>
      </c>
      <c r="F100">
        <v>123</v>
      </c>
      <c r="G100">
        <f t="shared" si="2"/>
        <v>25276</v>
      </c>
      <c r="H100">
        <f t="shared" si="3"/>
        <v>53646</v>
      </c>
    </row>
    <row r="101" spans="1:8" x14ac:dyDescent="0.25">
      <c r="A101" t="s">
        <v>130</v>
      </c>
      <c r="B101" s="1">
        <v>45875.815405092595</v>
      </c>
      <c r="C101" t="s">
        <v>14</v>
      </c>
      <c r="D101">
        <v>0</v>
      </c>
      <c r="E101">
        <v>65</v>
      </c>
      <c r="F101">
        <v>23</v>
      </c>
      <c r="G101">
        <f t="shared" si="2"/>
        <v>25276</v>
      </c>
      <c r="H101">
        <f t="shared" si="3"/>
        <v>53646</v>
      </c>
    </row>
    <row r="102" spans="1:8" x14ac:dyDescent="0.25">
      <c r="A102" t="s">
        <v>131</v>
      </c>
      <c r="B102" s="1">
        <v>45875.691203703704</v>
      </c>
      <c r="C102" t="s">
        <v>27</v>
      </c>
      <c r="D102">
        <v>0</v>
      </c>
      <c r="E102">
        <v>30</v>
      </c>
      <c r="F102">
        <v>88</v>
      </c>
      <c r="G102">
        <f t="shared" si="2"/>
        <v>25276</v>
      </c>
      <c r="H102">
        <f t="shared" si="3"/>
        <v>53646</v>
      </c>
    </row>
    <row r="103" spans="1:8" x14ac:dyDescent="0.25">
      <c r="A103" t="s">
        <v>132</v>
      </c>
      <c r="B103" s="1">
        <v>45875.468541666669</v>
      </c>
      <c r="C103" t="s">
        <v>14</v>
      </c>
      <c r="D103">
        <v>0</v>
      </c>
      <c r="E103">
        <v>15</v>
      </c>
      <c r="F103">
        <v>118</v>
      </c>
      <c r="G103">
        <f t="shared" si="2"/>
        <v>25276</v>
      </c>
      <c r="H103">
        <f t="shared" si="3"/>
        <v>53646</v>
      </c>
    </row>
    <row r="104" spans="1:8" x14ac:dyDescent="0.25">
      <c r="A104" t="s">
        <v>133</v>
      </c>
      <c r="B104" s="1">
        <v>45875.467592592591</v>
      </c>
      <c r="C104" t="s">
        <v>16</v>
      </c>
      <c r="D104">
        <v>0</v>
      </c>
      <c r="E104">
        <v>50</v>
      </c>
      <c r="F104">
        <v>133</v>
      </c>
      <c r="G104">
        <f t="shared" si="2"/>
        <v>25276</v>
      </c>
      <c r="H104">
        <f t="shared" si="3"/>
        <v>53646</v>
      </c>
    </row>
    <row r="105" spans="1:8" x14ac:dyDescent="0.25">
      <c r="A105" t="s">
        <v>134</v>
      </c>
      <c r="B105" s="1">
        <v>45875.363020833334</v>
      </c>
      <c r="C105" t="s">
        <v>44</v>
      </c>
      <c r="D105">
        <v>60</v>
      </c>
      <c r="E105">
        <v>0</v>
      </c>
      <c r="F105">
        <v>183</v>
      </c>
      <c r="G105">
        <f t="shared" si="2"/>
        <v>25276</v>
      </c>
      <c r="H105">
        <f t="shared" si="3"/>
        <v>53646</v>
      </c>
    </row>
    <row r="106" spans="1:8" x14ac:dyDescent="0.25">
      <c r="A106" t="s">
        <v>135</v>
      </c>
      <c r="B106" s="1">
        <v>45874.820034722223</v>
      </c>
      <c r="C106" t="s">
        <v>16</v>
      </c>
      <c r="D106">
        <v>0</v>
      </c>
      <c r="E106">
        <v>15</v>
      </c>
      <c r="F106">
        <v>123</v>
      </c>
      <c r="G106">
        <f t="shared" si="2"/>
        <v>25276</v>
      </c>
      <c r="H106">
        <f t="shared" si="3"/>
        <v>53646</v>
      </c>
    </row>
    <row r="107" spans="1:8" x14ac:dyDescent="0.25">
      <c r="A107" t="s">
        <v>136</v>
      </c>
      <c r="B107" s="1">
        <v>45874.818738425929</v>
      </c>
      <c r="C107" t="s">
        <v>48</v>
      </c>
      <c r="D107">
        <v>0</v>
      </c>
      <c r="E107">
        <v>40</v>
      </c>
      <c r="F107">
        <v>138</v>
      </c>
      <c r="G107">
        <f t="shared" si="2"/>
        <v>25276</v>
      </c>
      <c r="H107">
        <f t="shared" si="3"/>
        <v>53646</v>
      </c>
    </row>
    <row r="108" spans="1:8" x14ac:dyDescent="0.25">
      <c r="A108" t="s">
        <v>137</v>
      </c>
      <c r="B108" s="1">
        <v>45874.666250000002</v>
      </c>
      <c r="C108" t="s">
        <v>27</v>
      </c>
      <c r="D108">
        <v>0</v>
      </c>
      <c r="E108">
        <v>30</v>
      </c>
      <c r="F108">
        <v>178</v>
      </c>
      <c r="G108">
        <f t="shared" si="2"/>
        <v>25276</v>
      </c>
      <c r="H108">
        <f t="shared" si="3"/>
        <v>53646</v>
      </c>
    </row>
    <row r="109" spans="1:8" x14ac:dyDescent="0.25">
      <c r="A109" t="s">
        <v>138</v>
      </c>
      <c r="B109" s="1">
        <v>45874.413090277776</v>
      </c>
      <c r="C109" t="s">
        <v>18</v>
      </c>
      <c r="D109">
        <v>0</v>
      </c>
      <c r="E109">
        <v>25</v>
      </c>
      <c r="F109">
        <v>208</v>
      </c>
      <c r="G109">
        <f t="shared" si="2"/>
        <v>25276</v>
      </c>
      <c r="H109">
        <f t="shared" si="3"/>
        <v>53646</v>
      </c>
    </row>
    <row r="110" spans="1:8" x14ac:dyDescent="0.25">
      <c r="A110" t="s">
        <v>139</v>
      </c>
      <c r="B110" s="1">
        <v>45874.398946759262</v>
      </c>
      <c r="C110" t="s">
        <v>27</v>
      </c>
      <c r="D110">
        <v>0</v>
      </c>
      <c r="E110">
        <v>30</v>
      </c>
      <c r="F110">
        <v>233</v>
      </c>
      <c r="G110">
        <f t="shared" si="2"/>
        <v>25276</v>
      </c>
      <c r="H110">
        <f t="shared" si="3"/>
        <v>53646</v>
      </c>
    </row>
    <row r="111" spans="1:8" x14ac:dyDescent="0.25">
      <c r="A111" t="s">
        <v>140</v>
      </c>
      <c r="B111" s="1">
        <v>45874.360497685186</v>
      </c>
      <c r="C111" t="s">
        <v>52</v>
      </c>
      <c r="D111">
        <v>100</v>
      </c>
      <c r="E111">
        <v>0</v>
      </c>
      <c r="F111">
        <v>263</v>
      </c>
      <c r="G111">
        <f t="shared" si="2"/>
        <v>25276</v>
      </c>
      <c r="H111">
        <f t="shared" si="3"/>
        <v>53646</v>
      </c>
    </row>
    <row r="112" spans="1:8" x14ac:dyDescent="0.25">
      <c r="A112" t="s">
        <v>141</v>
      </c>
      <c r="B112" s="1">
        <v>45873.771932870368</v>
      </c>
      <c r="C112" t="s">
        <v>52</v>
      </c>
      <c r="D112">
        <v>100</v>
      </c>
      <c r="E112">
        <v>0</v>
      </c>
      <c r="F112">
        <v>163</v>
      </c>
      <c r="G112">
        <f t="shared" si="2"/>
        <v>25276</v>
      </c>
      <c r="H112">
        <f t="shared" si="3"/>
        <v>53646</v>
      </c>
    </row>
    <row r="113" spans="1:8" x14ac:dyDescent="0.25">
      <c r="A113" t="s">
        <v>142</v>
      </c>
      <c r="B113" s="1">
        <v>45873.771504629629</v>
      </c>
      <c r="C113" t="s">
        <v>52</v>
      </c>
      <c r="D113">
        <v>50</v>
      </c>
      <c r="E113">
        <v>0</v>
      </c>
      <c r="F113">
        <v>63</v>
      </c>
      <c r="G113">
        <f t="shared" si="2"/>
        <v>25276</v>
      </c>
      <c r="H113">
        <f t="shared" si="3"/>
        <v>53646</v>
      </c>
    </row>
    <row r="114" spans="1:8" x14ac:dyDescent="0.25">
      <c r="A114" t="s">
        <v>143</v>
      </c>
      <c r="B114" s="1">
        <v>45873.438391203701</v>
      </c>
      <c r="C114" t="s">
        <v>118</v>
      </c>
      <c r="D114">
        <v>0</v>
      </c>
      <c r="E114">
        <v>3</v>
      </c>
      <c r="F114">
        <v>13</v>
      </c>
      <c r="G114">
        <f t="shared" si="2"/>
        <v>25276</v>
      </c>
      <c r="H114">
        <f t="shared" si="3"/>
        <v>53646</v>
      </c>
    </row>
    <row r="115" spans="1:8" x14ac:dyDescent="0.25">
      <c r="A115" t="s">
        <v>144</v>
      </c>
      <c r="B115" s="1">
        <v>45873.414837962962</v>
      </c>
      <c r="C115" t="s">
        <v>16</v>
      </c>
      <c r="D115">
        <v>0</v>
      </c>
      <c r="E115">
        <v>60</v>
      </c>
      <c r="F115">
        <v>16</v>
      </c>
      <c r="G115">
        <f t="shared" si="2"/>
        <v>25276</v>
      </c>
      <c r="H115">
        <f t="shared" si="3"/>
        <v>53646</v>
      </c>
    </row>
    <row r="116" spans="1:8" x14ac:dyDescent="0.25">
      <c r="A116" t="s">
        <v>145</v>
      </c>
      <c r="B116" s="1">
        <v>45873.410578703704</v>
      </c>
      <c r="C116" t="s">
        <v>74</v>
      </c>
      <c r="D116">
        <v>25</v>
      </c>
      <c r="E116">
        <v>0</v>
      </c>
      <c r="F116">
        <v>76</v>
      </c>
      <c r="G116">
        <f t="shared" si="2"/>
        <v>25276</v>
      </c>
      <c r="H116">
        <f t="shared" si="3"/>
        <v>53646</v>
      </c>
    </row>
    <row r="117" spans="1:8" x14ac:dyDescent="0.25">
      <c r="A117" t="s">
        <v>146</v>
      </c>
      <c r="B117" s="1">
        <v>45872.915081018517</v>
      </c>
      <c r="C117" t="s">
        <v>27</v>
      </c>
      <c r="D117">
        <v>0</v>
      </c>
      <c r="E117">
        <v>30</v>
      </c>
      <c r="F117">
        <v>51</v>
      </c>
      <c r="G117">
        <f t="shared" si="2"/>
        <v>25276</v>
      </c>
      <c r="H117">
        <f t="shared" si="3"/>
        <v>53646</v>
      </c>
    </row>
    <row r="118" spans="1:8" x14ac:dyDescent="0.25">
      <c r="A118" t="s">
        <v>147</v>
      </c>
      <c r="B118" s="1">
        <v>45872.912465277775</v>
      </c>
      <c r="C118" t="s">
        <v>44</v>
      </c>
      <c r="D118">
        <v>30</v>
      </c>
      <c r="E118">
        <v>0</v>
      </c>
      <c r="F118">
        <v>81</v>
      </c>
      <c r="G118">
        <f t="shared" si="2"/>
        <v>25276</v>
      </c>
      <c r="H118">
        <f t="shared" si="3"/>
        <v>53646</v>
      </c>
    </row>
    <row r="119" spans="1:8" x14ac:dyDescent="0.25">
      <c r="A119" t="s">
        <v>148</v>
      </c>
      <c r="B119" s="1">
        <v>45872.898414351854</v>
      </c>
      <c r="C119" t="s">
        <v>44</v>
      </c>
      <c r="D119">
        <v>50</v>
      </c>
      <c r="E119">
        <v>0</v>
      </c>
      <c r="F119">
        <v>51</v>
      </c>
      <c r="G119">
        <f t="shared" si="2"/>
        <v>25276</v>
      </c>
      <c r="H119">
        <f t="shared" si="3"/>
        <v>53646</v>
      </c>
    </row>
    <row r="120" spans="1:8" x14ac:dyDescent="0.25">
      <c r="A120" t="s">
        <v>149</v>
      </c>
      <c r="B120" s="1">
        <v>45872.445844907408</v>
      </c>
      <c r="C120" t="s">
        <v>18</v>
      </c>
      <c r="D120">
        <v>0</v>
      </c>
      <c r="E120">
        <v>25</v>
      </c>
      <c r="F120">
        <v>1</v>
      </c>
      <c r="G120">
        <f t="shared" si="2"/>
        <v>25276</v>
      </c>
      <c r="H120">
        <f t="shared" si="3"/>
        <v>53646</v>
      </c>
    </row>
    <row r="121" spans="1:8" x14ac:dyDescent="0.25">
      <c r="A121" t="s">
        <v>150</v>
      </c>
      <c r="B121" s="1">
        <v>45872.394016203703</v>
      </c>
      <c r="C121" t="s">
        <v>27</v>
      </c>
      <c r="D121">
        <v>0</v>
      </c>
      <c r="E121">
        <v>30</v>
      </c>
      <c r="F121">
        <v>26</v>
      </c>
      <c r="G121">
        <f t="shared" si="2"/>
        <v>25276</v>
      </c>
      <c r="H121">
        <f t="shared" si="3"/>
        <v>53646</v>
      </c>
    </row>
    <row r="122" spans="1:8" x14ac:dyDescent="0.25">
      <c r="A122" t="s">
        <v>151</v>
      </c>
      <c r="B122" s="1">
        <v>45872.391157407408</v>
      </c>
      <c r="C122" t="s">
        <v>74</v>
      </c>
      <c r="D122">
        <v>55</v>
      </c>
      <c r="E122">
        <v>0</v>
      </c>
      <c r="F122">
        <v>56</v>
      </c>
      <c r="G122">
        <f t="shared" si="2"/>
        <v>25276</v>
      </c>
      <c r="H122">
        <f t="shared" si="3"/>
        <v>53646</v>
      </c>
    </row>
    <row r="123" spans="1:8" x14ac:dyDescent="0.25">
      <c r="A123" t="s">
        <v>152</v>
      </c>
      <c r="B123" s="1">
        <v>45871.002754629626</v>
      </c>
      <c r="C123" t="s">
        <v>90</v>
      </c>
      <c r="D123">
        <v>0</v>
      </c>
      <c r="E123">
        <v>22</v>
      </c>
      <c r="F123">
        <v>1</v>
      </c>
      <c r="G123">
        <f t="shared" si="2"/>
        <v>25276</v>
      </c>
      <c r="H123">
        <f t="shared" si="3"/>
        <v>53646</v>
      </c>
    </row>
    <row r="124" spans="1:8" x14ac:dyDescent="0.25">
      <c r="A124" t="s">
        <v>153</v>
      </c>
      <c r="B124" s="1">
        <v>45870.999027777776</v>
      </c>
      <c r="C124" t="s">
        <v>27</v>
      </c>
      <c r="D124">
        <v>0</v>
      </c>
      <c r="E124">
        <v>30</v>
      </c>
      <c r="F124">
        <v>23</v>
      </c>
      <c r="G124">
        <f t="shared" si="2"/>
        <v>25276</v>
      </c>
      <c r="H124">
        <f t="shared" si="3"/>
        <v>53646</v>
      </c>
    </row>
    <row r="125" spans="1:8" x14ac:dyDescent="0.25">
      <c r="A125" t="s">
        <v>154</v>
      </c>
      <c r="B125" s="1">
        <v>45870.997928240744</v>
      </c>
      <c r="C125" t="s">
        <v>74</v>
      </c>
      <c r="D125">
        <v>30</v>
      </c>
      <c r="E125">
        <v>0</v>
      </c>
      <c r="F125">
        <v>53</v>
      </c>
      <c r="G125">
        <f t="shared" si="2"/>
        <v>25276</v>
      </c>
      <c r="H125">
        <f t="shared" si="3"/>
        <v>53646</v>
      </c>
    </row>
    <row r="126" spans="1:8" x14ac:dyDescent="0.25">
      <c r="A126" t="s">
        <v>155</v>
      </c>
      <c r="B126" s="1">
        <v>45870.780555555553</v>
      </c>
      <c r="C126" t="s">
        <v>156</v>
      </c>
      <c r="D126">
        <v>0</v>
      </c>
      <c r="E126">
        <v>10</v>
      </c>
      <c r="F126">
        <v>23</v>
      </c>
      <c r="G126">
        <f t="shared" si="2"/>
        <v>25276</v>
      </c>
      <c r="H126">
        <f t="shared" si="3"/>
        <v>53646</v>
      </c>
    </row>
    <row r="127" spans="1:8" x14ac:dyDescent="0.25">
      <c r="A127" t="s">
        <v>157</v>
      </c>
      <c r="B127" s="1">
        <v>45870.735833333332</v>
      </c>
      <c r="C127" t="s">
        <v>9</v>
      </c>
      <c r="D127">
        <v>0</v>
      </c>
      <c r="E127">
        <v>5</v>
      </c>
      <c r="F127">
        <v>33</v>
      </c>
      <c r="G127">
        <f t="shared" si="2"/>
        <v>25276</v>
      </c>
      <c r="H127">
        <f t="shared" si="3"/>
        <v>53646</v>
      </c>
    </row>
    <row r="128" spans="1:8" x14ac:dyDescent="0.25">
      <c r="A128" t="s">
        <v>157</v>
      </c>
      <c r="B128" s="1">
        <v>45870.735833333332</v>
      </c>
      <c r="C128" t="s">
        <v>158</v>
      </c>
      <c r="D128">
        <v>0</v>
      </c>
      <c r="E128">
        <v>400</v>
      </c>
      <c r="F128">
        <v>38</v>
      </c>
      <c r="G128">
        <f t="shared" si="2"/>
        <v>25276</v>
      </c>
      <c r="H128">
        <f t="shared" si="3"/>
        <v>53646</v>
      </c>
    </row>
    <row r="129" spans="1:8" x14ac:dyDescent="0.25">
      <c r="A129" t="s">
        <v>159</v>
      </c>
      <c r="B129" s="1">
        <v>45870.682291666664</v>
      </c>
      <c r="C129" t="s">
        <v>21</v>
      </c>
      <c r="D129">
        <v>0</v>
      </c>
      <c r="E129">
        <v>7</v>
      </c>
      <c r="F129">
        <v>438</v>
      </c>
      <c r="G129">
        <f t="shared" si="2"/>
        <v>25276</v>
      </c>
      <c r="H129">
        <f t="shared" si="3"/>
        <v>53646</v>
      </c>
    </row>
    <row r="130" spans="1:8" x14ac:dyDescent="0.25">
      <c r="A130" t="s">
        <v>159</v>
      </c>
      <c r="B130" s="1">
        <v>45870.682291666664</v>
      </c>
      <c r="C130" t="s">
        <v>160</v>
      </c>
      <c r="D130">
        <v>0</v>
      </c>
      <c r="E130">
        <v>500</v>
      </c>
      <c r="F130">
        <v>445</v>
      </c>
      <c r="G130">
        <f t="shared" ref="G130:G193" si="4">SUM(E:E)</f>
        <v>25276</v>
      </c>
      <c r="H130">
        <f t="shared" ref="H130:H193" si="5">SUM(D:D)</f>
        <v>53646</v>
      </c>
    </row>
    <row r="131" spans="1:8" x14ac:dyDescent="0.25">
      <c r="A131" t="s">
        <v>161</v>
      </c>
      <c r="B131" s="1">
        <v>45870.594722222224</v>
      </c>
      <c r="C131" t="s">
        <v>44</v>
      </c>
      <c r="D131">
        <v>900</v>
      </c>
      <c r="E131">
        <v>0</v>
      </c>
      <c r="F131">
        <v>945</v>
      </c>
      <c r="G131">
        <f t="shared" si="4"/>
        <v>25276</v>
      </c>
      <c r="H131">
        <f t="shared" si="5"/>
        <v>53646</v>
      </c>
    </row>
    <row r="132" spans="1:8" x14ac:dyDescent="0.25">
      <c r="A132" t="s">
        <v>162</v>
      </c>
      <c r="B132" s="1">
        <v>45870.512870370374</v>
      </c>
      <c r="C132" t="s">
        <v>18</v>
      </c>
      <c r="D132">
        <v>0</v>
      </c>
      <c r="E132">
        <v>25</v>
      </c>
      <c r="F132">
        <v>45</v>
      </c>
      <c r="G132">
        <f t="shared" si="4"/>
        <v>25276</v>
      </c>
      <c r="H132">
        <f t="shared" si="5"/>
        <v>53646</v>
      </c>
    </row>
    <row r="133" spans="1:8" x14ac:dyDescent="0.25">
      <c r="A133" t="s">
        <v>163</v>
      </c>
      <c r="B133" s="1">
        <v>45869.912083333336</v>
      </c>
      <c r="C133" t="s">
        <v>27</v>
      </c>
      <c r="D133">
        <v>0</v>
      </c>
      <c r="E133">
        <v>30</v>
      </c>
      <c r="F133">
        <v>70</v>
      </c>
      <c r="G133">
        <f t="shared" si="4"/>
        <v>25276</v>
      </c>
      <c r="H133">
        <f t="shared" si="5"/>
        <v>53646</v>
      </c>
    </row>
    <row r="134" spans="1:8" x14ac:dyDescent="0.25">
      <c r="A134" t="s">
        <v>164</v>
      </c>
      <c r="B134" s="1">
        <v>45869.909421296295</v>
      </c>
      <c r="C134" t="s">
        <v>74</v>
      </c>
      <c r="D134">
        <v>100</v>
      </c>
      <c r="E134">
        <v>0</v>
      </c>
      <c r="F134">
        <v>100</v>
      </c>
      <c r="G134">
        <f t="shared" si="4"/>
        <v>25276</v>
      </c>
      <c r="H134">
        <f t="shared" si="5"/>
        <v>53646</v>
      </c>
    </row>
    <row r="135" spans="1:8" x14ac:dyDescent="0.25">
      <c r="A135" t="s">
        <v>165</v>
      </c>
      <c r="B135" s="1">
        <v>45869.401863425926</v>
      </c>
      <c r="C135" t="s">
        <v>18</v>
      </c>
      <c r="D135">
        <v>0</v>
      </c>
      <c r="E135">
        <v>10</v>
      </c>
      <c r="F135">
        <v>0</v>
      </c>
      <c r="G135">
        <f t="shared" si="4"/>
        <v>25276</v>
      </c>
      <c r="H135">
        <f t="shared" si="5"/>
        <v>53646</v>
      </c>
    </row>
    <row r="136" spans="1:8" x14ac:dyDescent="0.25">
      <c r="A136" t="s">
        <v>166</v>
      </c>
      <c r="B136" s="1">
        <v>45869.400717592594</v>
      </c>
      <c r="C136" t="s">
        <v>16</v>
      </c>
      <c r="D136">
        <v>0</v>
      </c>
      <c r="E136">
        <v>45</v>
      </c>
      <c r="F136">
        <v>10</v>
      </c>
      <c r="G136">
        <f t="shared" si="4"/>
        <v>25276</v>
      </c>
      <c r="H136">
        <f t="shared" si="5"/>
        <v>53646</v>
      </c>
    </row>
    <row r="137" spans="1:8" x14ac:dyDescent="0.25">
      <c r="A137" t="s">
        <v>167</v>
      </c>
      <c r="B137" s="1">
        <v>45868.818344907406</v>
      </c>
      <c r="C137" t="s">
        <v>16</v>
      </c>
      <c r="D137">
        <v>0</v>
      </c>
      <c r="E137">
        <v>5</v>
      </c>
      <c r="F137">
        <v>55</v>
      </c>
      <c r="G137">
        <f t="shared" si="4"/>
        <v>25276</v>
      </c>
      <c r="H137">
        <f t="shared" si="5"/>
        <v>53646</v>
      </c>
    </row>
    <row r="138" spans="1:8" x14ac:dyDescent="0.25">
      <c r="A138" t="s">
        <v>168</v>
      </c>
      <c r="B138" s="1">
        <v>45868.817118055558</v>
      </c>
      <c r="C138" t="s">
        <v>14</v>
      </c>
      <c r="D138">
        <v>0</v>
      </c>
      <c r="E138">
        <v>40</v>
      </c>
      <c r="F138">
        <v>60</v>
      </c>
      <c r="G138">
        <f t="shared" si="4"/>
        <v>25276</v>
      </c>
      <c r="H138">
        <f t="shared" si="5"/>
        <v>53646</v>
      </c>
    </row>
    <row r="139" spans="1:8" x14ac:dyDescent="0.25">
      <c r="A139" t="s">
        <v>169</v>
      </c>
      <c r="B139" s="1">
        <v>45868.811724537038</v>
      </c>
      <c r="C139" t="s">
        <v>170</v>
      </c>
      <c r="D139">
        <v>0</v>
      </c>
      <c r="E139">
        <v>40</v>
      </c>
      <c r="F139">
        <v>100</v>
      </c>
      <c r="G139">
        <f t="shared" si="4"/>
        <v>25276</v>
      </c>
      <c r="H139">
        <f t="shared" si="5"/>
        <v>53646</v>
      </c>
    </row>
    <row r="140" spans="1:8" x14ac:dyDescent="0.25">
      <c r="A140" t="s">
        <v>171</v>
      </c>
      <c r="B140" s="1">
        <v>45868.686111111114</v>
      </c>
      <c r="C140" t="s">
        <v>27</v>
      </c>
      <c r="D140">
        <v>0</v>
      </c>
      <c r="E140">
        <v>30</v>
      </c>
      <c r="F140">
        <v>140</v>
      </c>
      <c r="G140">
        <f t="shared" si="4"/>
        <v>25276</v>
      </c>
      <c r="H140">
        <f t="shared" si="5"/>
        <v>53646</v>
      </c>
    </row>
    <row r="141" spans="1:8" x14ac:dyDescent="0.25">
      <c r="A141" t="s">
        <v>172</v>
      </c>
      <c r="B141" s="1">
        <v>45868.551458333335</v>
      </c>
      <c r="C141" t="s">
        <v>18</v>
      </c>
      <c r="D141">
        <v>0</v>
      </c>
      <c r="E141">
        <v>25</v>
      </c>
      <c r="F141">
        <v>170</v>
      </c>
      <c r="G141">
        <f t="shared" si="4"/>
        <v>25276</v>
      </c>
      <c r="H141">
        <f t="shared" si="5"/>
        <v>53646</v>
      </c>
    </row>
    <row r="142" spans="1:8" x14ac:dyDescent="0.25">
      <c r="A142" t="s">
        <v>173</v>
      </c>
      <c r="B142" s="1">
        <v>45867.817557870374</v>
      </c>
      <c r="C142" t="s">
        <v>16</v>
      </c>
      <c r="D142">
        <v>0</v>
      </c>
      <c r="E142">
        <v>5</v>
      </c>
      <c r="F142">
        <v>195</v>
      </c>
      <c r="G142">
        <f t="shared" si="4"/>
        <v>25276</v>
      </c>
      <c r="H142">
        <f t="shared" si="5"/>
        <v>53646</v>
      </c>
    </row>
    <row r="143" spans="1:8" x14ac:dyDescent="0.25">
      <c r="A143" t="s">
        <v>174</v>
      </c>
      <c r="B143" s="1">
        <v>45867.816319444442</v>
      </c>
      <c r="C143" t="s">
        <v>14</v>
      </c>
      <c r="D143">
        <v>0</v>
      </c>
      <c r="E143">
        <v>80</v>
      </c>
      <c r="F143">
        <v>200</v>
      </c>
      <c r="G143">
        <f t="shared" si="4"/>
        <v>25276</v>
      </c>
      <c r="H143">
        <f t="shared" si="5"/>
        <v>53646</v>
      </c>
    </row>
    <row r="144" spans="1:8" x14ac:dyDescent="0.25">
      <c r="A144" t="s">
        <v>175</v>
      </c>
      <c r="B144" s="1">
        <v>45867.741238425922</v>
      </c>
      <c r="C144" t="s">
        <v>176</v>
      </c>
      <c r="D144">
        <v>0</v>
      </c>
      <c r="E144">
        <v>17</v>
      </c>
      <c r="F144">
        <v>280</v>
      </c>
      <c r="G144">
        <f t="shared" si="4"/>
        <v>25276</v>
      </c>
      <c r="H144">
        <f t="shared" si="5"/>
        <v>53646</v>
      </c>
    </row>
    <row r="145" spans="1:8" x14ac:dyDescent="0.25">
      <c r="A145" t="s">
        <v>177</v>
      </c>
      <c r="B145" s="1">
        <v>45867.610358796293</v>
      </c>
      <c r="C145" t="s">
        <v>27</v>
      </c>
      <c r="D145">
        <v>0</v>
      </c>
      <c r="E145">
        <v>30</v>
      </c>
      <c r="F145">
        <v>297</v>
      </c>
      <c r="G145">
        <f t="shared" si="4"/>
        <v>25276</v>
      </c>
      <c r="H145">
        <f t="shared" si="5"/>
        <v>53646</v>
      </c>
    </row>
    <row r="146" spans="1:8" x14ac:dyDescent="0.25">
      <c r="A146" t="s">
        <v>178</v>
      </c>
      <c r="B146" s="1">
        <v>45867.590057870373</v>
      </c>
      <c r="C146" t="s">
        <v>101</v>
      </c>
      <c r="D146">
        <v>0</v>
      </c>
      <c r="E146">
        <v>11</v>
      </c>
      <c r="F146">
        <v>327</v>
      </c>
      <c r="G146">
        <f t="shared" si="4"/>
        <v>25276</v>
      </c>
      <c r="H146">
        <f t="shared" si="5"/>
        <v>53646</v>
      </c>
    </row>
    <row r="147" spans="1:8" x14ac:dyDescent="0.25">
      <c r="A147" t="s">
        <v>179</v>
      </c>
      <c r="B147" s="1">
        <v>45867.476273148146</v>
      </c>
      <c r="C147" t="s">
        <v>176</v>
      </c>
      <c r="D147">
        <v>0</v>
      </c>
      <c r="E147">
        <v>17</v>
      </c>
      <c r="F147">
        <v>338</v>
      </c>
      <c r="G147">
        <f t="shared" si="4"/>
        <v>25276</v>
      </c>
      <c r="H147">
        <f t="shared" si="5"/>
        <v>53646</v>
      </c>
    </row>
    <row r="148" spans="1:8" x14ac:dyDescent="0.25">
      <c r="A148" t="s">
        <v>180</v>
      </c>
      <c r="B148" s="1">
        <v>45867.442395833335</v>
      </c>
      <c r="C148" t="s">
        <v>18</v>
      </c>
      <c r="D148">
        <v>0</v>
      </c>
      <c r="E148">
        <v>25</v>
      </c>
      <c r="F148">
        <v>355</v>
      </c>
      <c r="G148">
        <f t="shared" si="4"/>
        <v>25276</v>
      </c>
      <c r="H148">
        <f t="shared" si="5"/>
        <v>53646</v>
      </c>
    </row>
    <row r="149" spans="1:8" x14ac:dyDescent="0.25">
      <c r="A149" t="s">
        <v>181</v>
      </c>
      <c r="B149" s="1">
        <v>45867.440821759257</v>
      </c>
      <c r="C149" t="s">
        <v>16</v>
      </c>
      <c r="D149">
        <v>0</v>
      </c>
      <c r="E149">
        <v>30</v>
      </c>
      <c r="F149">
        <v>380</v>
      </c>
      <c r="G149">
        <f t="shared" si="4"/>
        <v>25276</v>
      </c>
      <c r="H149">
        <f t="shared" si="5"/>
        <v>53646</v>
      </c>
    </row>
    <row r="150" spans="1:8" x14ac:dyDescent="0.25">
      <c r="A150" t="s">
        <v>182</v>
      </c>
      <c r="B150" s="1">
        <v>45866.810949074075</v>
      </c>
      <c r="C150" t="s">
        <v>48</v>
      </c>
      <c r="D150">
        <v>0</v>
      </c>
      <c r="E150">
        <v>40</v>
      </c>
      <c r="F150">
        <v>410</v>
      </c>
      <c r="G150">
        <f t="shared" si="4"/>
        <v>25276</v>
      </c>
      <c r="H150">
        <f t="shared" si="5"/>
        <v>53646</v>
      </c>
    </row>
    <row r="151" spans="1:8" x14ac:dyDescent="0.25">
      <c r="A151" t="s">
        <v>183</v>
      </c>
      <c r="B151" s="1">
        <v>45866.656759259262</v>
      </c>
      <c r="C151" t="s">
        <v>79</v>
      </c>
      <c r="D151">
        <v>0</v>
      </c>
      <c r="E151">
        <v>30</v>
      </c>
      <c r="F151">
        <v>450</v>
      </c>
      <c r="G151">
        <f t="shared" si="4"/>
        <v>25276</v>
      </c>
      <c r="H151">
        <f t="shared" si="5"/>
        <v>53646</v>
      </c>
    </row>
    <row r="152" spans="1:8" x14ac:dyDescent="0.25">
      <c r="A152" t="s">
        <v>184</v>
      </c>
      <c r="B152" s="1">
        <v>45866.653425925928</v>
      </c>
      <c r="C152" t="s">
        <v>176</v>
      </c>
      <c r="D152">
        <v>0</v>
      </c>
      <c r="E152">
        <v>17</v>
      </c>
      <c r="F152">
        <v>480</v>
      </c>
      <c r="G152">
        <f t="shared" si="4"/>
        <v>25276</v>
      </c>
      <c r="H152">
        <f t="shared" si="5"/>
        <v>53646</v>
      </c>
    </row>
    <row r="153" spans="1:8" x14ac:dyDescent="0.25">
      <c r="A153" t="s">
        <v>185</v>
      </c>
      <c r="B153" s="1">
        <v>45866.610509259262</v>
      </c>
      <c r="C153" t="s">
        <v>16</v>
      </c>
      <c r="D153">
        <v>0</v>
      </c>
      <c r="E153">
        <v>80</v>
      </c>
      <c r="F153">
        <v>497</v>
      </c>
      <c r="G153">
        <f t="shared" si="4"/>
        <v>25276</v>
      </c>
      <c r="H153">
        <f t="shared" si="5"/>
        <v>53646</v>
      </c>
    </row>
    <row r="154" spans="1:8" x14ac:dyDescent="0.25">
      <c r="A154" t="s">
        <v>186</v>
      </c>
      <c r="B154" s="1">
        <v>45866.451215277775</v>
      </c>
      <c r="C154" t="s">
        <v>23</v>
      </c>
      <c r="D154">
        <v>0</v>
      </c>
      <c r="E154">
        <v>100</v>
      </c>
      <c r="F154">
        <v>577</v>
      </c>
      <c r="G154">
        <f t="shared" si="4"/>
        <v>25276</v>
      </c>
      <c r="H154">
        <f t="shared" si="5"/>
        <v>53646</v>
      </c>
    </row>
    <row r="155" spans="1:8" x14ac:dyDescent="0.25">
      <c r="A155" t="s">
        <v>187</v>
      </c>
      <c r="B155" s="1">
        <v>45866.449675925927</v>
      </c>
      <c r="C155" t="s">
        <v>23</v>
      </c>
      <c r="D155">
        <v>0</v>
      </c>
      <c r="E155">
        <v>100</v>
      </c>
      <c r="F155">
        <v>677</v>
      </c>
      <c r="G155">
        <f t="shared" si="4"/>
        <v>25276</v>
      </c>
      <c r="H155">
        <f t="shared" si="5"/>
        <v>53646</v>
      </c>
    </row>
    <row r="156" spans="1:8" x14ac:dyDescent="0.25">
      <c r="A156" t="s">
        <v>188</v>
      </c>
      <c r="B156" s="1">
        <v>45866.44903935185</v>
      </c>
      <c r="C156" t="s">
        <v>18</v>
      </c>
      <c r="D156">
        <v>0</v>
      </c>
      <c r="E156">
        <v>30</v>
      </c>
      <c r="F156">
        <v>777</v>
      </c>
      <c r="G156">
        <f t="shared" si="4"/>
        <v>25276</v>
      </c>
      <c r="H156">
        <f t="shared" si="5"/>
        <v>53646</v>
      </c>
    </row>
    <row r="157" spans="1:8" x14ac:dyDescent="0.25">
      <c r="A157" t="s">
        <v>189</v>
      </c>
      <c r="B157" s="1">
        <v>45866.444201388891</v>
      </c>
      <c r="C157" t="s">
        <v>23</v>
      </c>
      <c r="D157">
        <v>0</v>
      </c>
      <c r="E157">
        <v>100</v>
      </c>
      <c r="F157">
        <v>807</v>
      </c>
      <c r="G157">
        <f t="shared" si="4"/>
        <v>25276</v>
      </c>
      <c r="H157">
        <f t="shared" si="5"/>
        <v>53646</v>
      </c>
    </row>
    <row r="158" spans="1:8" x14ac:dyDescent="0.25">
      <c r="A158" t="s">
        <v>190</v>
      </c>
      <c r="B158" s="1">
        <v>45865.906909722224</v>
      </c>
      <c r="C158" t="s">
        <v>23</v>
      </c>
      <c r="D158">
        <v>0</v>
      </c>
      <c r="E158">
        <v>100</v>
      </c>
      <c r="F158">
        <v>907</v>
      </c>
      <c r="G158">
        <f t="shared" si="4"/>
        <v>25276</v>
      </c>
      <c r="H158">
        <f t="shared" si="5"/>
        <v>53646</v>
      </c>
    </row>
    <row r="159" spans="1:8" x14ac:dyDescent="0.25">
      <c r="A159" t="s">
        <v>191</v>
      </c>
      <c r="B159" s="1">
        <v>45865.900439814817</v>
      </c>
      <c r="C159" t="s">
        <v>44</v>
      </c>
      <c r="D159">
        <v>1000</v>
      </c>
      <c r="E159">
        <v>0</v>
      </c>
      <c r="F159">
        <v>1007</v>
      </c>
      <c r="G159">
        <f t="shared" si="4"/>
        <v>25276</v>
      </c>
      <c r="H159">
        <f t="shared" si="5"/>
        <v>53646</v>
      </c>
    </row>
    <row r="160" spans="1:8" x14ac:dyDescent="0.25">
      <c r="A160" t="s">
        <v>192</v>
      </c>
      <c r="B160" s="1">
        <v>45865.426493055558</v>
      </c>
      <c r="C160" t="s">
        <v>101</v>
      </c>
      <c r="D160">
        <v>0</v>
      </c>
      <c r="E160">
        <v>6</v>
      </c>
      <c r="F160">
        <v>7</v>
      </c>
      <c r="G160">
        <f t="shared" si="4"/>
        <v>25276</v>
      </c>
      <c r="H160">
        <f t="shared" si="5"/>
        <v>53646</v>
      </c>
    </row>
    <row r="161" spans="1:8" x14ac:dyDescent="0.25">
      <c r="A161" t="s">
        <v>193</v>
      </c>
      <c r="B161" s="1">
        <v>45864.808842592596</v>
      </c>
      <c r="C161" t="s">
        <v>14</v>
      </c>
      <c r="D161">
        <v>0</v>
      </c>
      <c r="E161">
        <v>65</v>
      </c>
      <c r="F161">
        <v>13</v>
      </c>
      <c r="G161">
        <f t="shared" si="4"/>
        <v>25276</v>
      </c>
      <c r="H161">
        <f t="shared" si="5"/>
        <v>53646</v>
      </c>
    </row>
    <row r="162" spans="1:8" x14ac:dyDescent="0.25">
      <c r="A162" t="s">
        <v>194</v>
      </c>
      <c r="B162" s="1">
        <v>45864.629212962966</v>
      </c>
      <c r="C162" t="s">
        <v>176</v>
      </c>
      <c r="D162">
        <v>0</v>
      </c>
      <c r="E162">
        <v>17</v>
      </c>
      <c r="F162">
        <v>78</v>
      </c>
      <c r="G162">
        <f t="shared" si="4"/>
        <v>25276</v>
      </c>
      <c r="H162">
        <f t="shared" si="5"/>
        <v>53646</v>
      </c>
    </row>
    <row r="163" spans="1:8" x14ac:dyDescent="0.25">
      <c r="A163" t="s">
        <v>195</v>
      </c>
      <c r="B163" s="1">
        <v>45863.77747685185</v>
      </c>
      <c r="C163" t="s">
        <v>44</v>
      </c>
      <c r="D163">
        <v>80</v>
      </c>
      <c r="E163">
        <v>0</v>
      </c>
      <c r="F163">
        <v>95</v>
      </c>
      <c r="G163">
        <f t="shared" si="4"/>
        <v>25276</v>
      </c>
      <c r="H163">
        <f t="shared" si="5"/>
        <v>53646</v>
      </c>
    </row>
    <row r="164" spans="1:8" x14ac:dyDescent="0.25">
      <c r="A164" t="s">
        <v>196</v>
      </c>
      <c r="B164" s="1">
        <v>45863.643321759257</v>
      </c>
      <c r="C164" t="s">
        <v>101</v>
      </c>
      <c r="D164">
        <v>0</v>
      </c>
      <c r="E164">
        <v>11</v>
      </c>
      <c r="F164">
        <v>15</v>
      </c>
      <c r="G164">
        <f t="shared" si="4"/>
        <v>25276</v>
      </c>
      <c r="H164">
        <f t="shared" si="5"/>
        <v>53646</v>
      </c>
    </row>
    <row r="165" spans="1:8" x14ac:dyDescent="0.25">
      <c r="A165" t="s">
        <v>197</v>
      </c>
      <c r="B165" s="1">
        <v>45863.456956018519</v>
      </c>
      <c r="C165" t="s">
        <v>18</v>
      </c>
      <c r="D165">
        <v>0</v>
      </c>
      <c r="E165">
        <v>90</v>
      </c>
      <c r="F165">
        <v>26</v>
      </c>
      <c r="G165">
        <f t="shared" si="4"/>
        <v>25276</v>
      </c>
      <c r="H165">
        <f t="shared" si="5"/>
        <v>53646</v>
      </c>
    </row>
    <row r="166" spans="1:8" x14ac:dyDescent="0.25">
      <c r="A166" t="s">
        <v>198</v>
      </c>
      <c r="B166" s="1">
        <v>45863.437824074077</v>
      </c>
      <c r="C166" t="s">
        <v>74</v>
      </c>
      <c r="D166">
        <v>100</v>
      </c>
      <c r="E166">
        <v>0</v>
      </c>
      <c r="F166">
        <v>116</v>
      </c>
      <c r="G166">
        <f t="shared" si="4"/>
        <v>25276</v>
      </c>
      <c r="H166">
        <f t="shared" si="5"/>
        <v>53646</v>
      </c>
    </row>
    <row r="167" spans="1:8" x14ac:dyDescent="0.25">
      <c r="A167" t="s">
        <v>199</v>
      </c>
      <c r="B167" s="1">
        <v>45862.722743055558</v>
      </c>
      <c r="C167" t="s">
        <v>176</v>
      </c>
      <c r="D167">
        <v>0</v>
      </c>
      <c r="E167">
        <v>17</v>
      </c>
      <c r="F167">
        <v>16</v>
      </c>
      <c r="G167">
        <f t="shared" si="4"/>
        <v>25276</v>
      </c>
      <c r="H167">
        <f t="shared" si="5"/>
        <v>53646</v>
      </c>
    </row>
    <row r="168" spans="1:8" x14ac:dyDescent="0.25">
      <c r="A168" t="s">
        <v>200</v>
      </c>
      <c r="B168" s="1">
        <v>45862.450613425928</v>
      </c>
      <c r="C168" t="s">
        <v>27</v>
      </c>
      <c r="D168">
        <v>0</v>
      </c>
      <c r="E168">
        <v>30</v>
      </c>
      <c r="F168">
        <v>33</v>
      </c>
      <c r="G168">
        <f t="shared" si="4"/>
        <v>25276</v>
      </c>
      <c r="H168">
        <f t="shared" si="5"/>
        <v>53646</v>
      </c>
    </row>
    <row r="169" spans="1:8" x14ac:dyDescent="0.25">
      <c r="A169" t="s">
        <v>201</v>
      </c>
      <c r="B169" s="1">
        <v>45862.437361111108</v>
      </c>
      <c r="C169" t="s">
        <v>18</v>
      </c>
      <c r="D169">
        <v>0</v>
      </c>
      <c r="E169">
        <v>65</v>
      </c>
      <c r="F169">
        <v>63</v>
      </c>
      <c r="G169">
        <f t="shared" si="4"/>
        <v>25276</v>
      </c>
      <c r="H169">
        <f t="shared" si="5"/>
        <v>53646</v>
      </c>
    </row>
    <row r="170" spans="1:8" x14ac:dyDescent="0.25">
      <c r="A170" t="s">
        <v>202</v>
      </c>
      <c r="B170" s="1">
        <v>45861.809340277781</v>
      </c>
      <c r="C170" t="s">
        <v>52</v>
      </c>
      <c r="D170">
        <v>100</v>
      </c>
      <c r="E170">
        <v>0</v>
      </c>
      <c r="F170">
        <v>128</v>
      </c>
      <c r="G170">
        <f t="shared" si="4"/>
        <v>25276</v>
      </c>
      <c r="H170">
        <f t="shared" si="5"/>
        <v>53646</v>
      </c>
    </row>
    <row r="171" spans="1:8" x14ac:dyDescent="0.25">
      <c r="A171" t="s">
        <v>203</v>
      </c>
      <c r="B171" s="1">
        <v>45861.445173611108</v>
      </c>
      <c r="C171" t="s">
        <v>27</v>
      </c>
      <c r="D171">
        <v>0</v>
      </c>
      <c r="E171">
        <v>30</v>
      </c>
      <c r="F171">
        <v>28</v>
      </c>
      <c r="G171">
        <f t="shared" si="4"/>
        <v>25276</v>
      </c>
      <c r="H171">
        <f t="shared" si="5"/>
        <v>53646</v>
      </c>
    </row>
    <row r="172" spans="1:8" x14ac:dyDescent="0.25">
      <c r="A172" t="s">
        <v>204</v>
      </c>
      <c r="B172" s="1">
        <v>45860.489016203705</v>
      </c>
      <c r="C172" t="s">
        <v>27</v>
      </c>
      <c r="D172">
        <v>0</v>
      </c>
      <c r="E172">
        <v>30</v>
      </c>
      <c r="F172">
        <v>58</v>
      </c>
      <c r="G172">
        <f t="shared" si="4"/>
        <v>25276</v>
      </c>
      <c r="H172">
        <f t="shared" si="5"/>
        <v>53646</v>
      </c>
    </row>
    <row r="173" spans="1:8" x14ac:dyDescent="0.25">
      <c r="A173" t="s">
        <v>205</v>
      </c>
      <c r="B173" s="1">
        <v>45860.441574074073</v>
      </c>
      <c r="C173" t="s">
        <v>18</v>
      </c>
      <c r="D173">
        <v>0</v>
      </c>
      <c r="E173">
        <v>25</v>
      </c>
      <c r="F173">
        <v>88</v>
      </c>
      <c r="G173">
        <f t="shared" si="4"/>
        <v>25276</v>
      </c>
      <c r="H173">
        <f t="shared" si="5"/>
        <v>53646</v>
      </c>
    </row>
    <row r="174" spans="1:8" x14ac:dyDescent="0.25">
      <c r="A174" t="s">
        <v>206</v>
      </c>
      <c r="B174" s="1">
        <v>45859.807569444441</v>
      </c>
      <c r="C174" t="s">
        <v>16</v>
      </c>
      <c r="D174">
        <v>0</v>
      </c>
      <c r="E174">
        <v>10</v>
      </c>
      <c r="F174">
        <v>113</v>
      </c>
      <c r="G174">
        <f t="shared" si="4"/>
        <v>25276</v>
      </c>
      <c r="H174">
        <f t="shared" si="5"/>
        <v>53646</v>
      </c>
    </row>
    <row r="175" spans="1:8" x14ac:dyDescent="0.25">
      <c r="A175" t="s">
        <v>207</v>
      </c>
      <c r="B175" s="1">
        <v>45859.681458333333</v>
      </c>
      <c r="C175" t="s">
        <v>16</v>
      </c>
      <c r="D175">
        <v>0</v>
      </c>
      <c r="E175">
        <v>25</v>
      </c>
      <c r="F175">
        <v>123</v>
      </c>
      <c r="G175">
        <f t="shared" si="4"/>
        <v>25276</v>
      </c>
      <c r="H175">
        <f t="shared" si="5"/>
        <v>53646</v>
      </c>
    </row>
    <row r="176" spans="1:8" x14ac:dyDescent="0.25">
      <c r="A176" t="s">
        <v>208</v>
      </c>
      <c r="B176" s="1">
        <v>45859.538356481484</v>
      </c>
      <c r="C176" t="s">
        <v>18</v>
      </c>
      <c r="D176">
        <v>0</v>
      </c>
      <c r="E176">
        <v>65</v>
      </c>
      <c r="F176">
        <v>148</v>
      </c>
      <c r="G176">
        <f t="shared" si="4"/>
        <v>25276</v>
      </c>
      <c r="H176">
        <f t="shared" si="5"/>
        <v>53646</v>
      </c>
    </row>
    <row r="177" spans="1:8" x14ac:dyDescent="0.25">
      <c r="A177" t="s">
        <v>209</v>
      </c>
      <c r="B177" s="1">
        <v>45859.486018518517</v>
      </c>
      <c r="C177" t="s">
        <v>27</v>
      </c>
      <c r="D177">
        <v>0</v>
      </c>
      <c r="E177">
        <v>30</v>
      </c>
      <c r="F177">
        <v>213</v>
      </c>
      <c r="G177">
        <f t="shared" si="4"/>
        <v>25276</v>
      </c>
      <c r="H177">
        <f t="shared" si="5"/>
        <v>53646</v>
      </c>
    </row>
    <row r="178" spans="1:8" x14ac:dyDescent="0.25">
      <c r="A178" t="s">
        <v>210</v>
      </c>
      <c r="B178" s="1">
        <v>45858.821712962963</v>
      </c>
      <c r="C178" t="s">
        <v>16</v>
      </c>
      <c r="D178">
        <v>0</v>
      </c>
      <c r="E178">
        <v>45</v>
      </c>
      <c r="F178">
        <v>243</v>
      </c>
      <c r="G178">
        <f t="shared" si="4"/>
        <v>25276</v>
      </c>
      <c r="H178">
        <f t="shared" si="5"/>
        <v>53646</v>
      </c>
    </row>
    <row r="179" spans="1:8" x14ac:dyDescent="0.25">
      <c r="A179" t="s">
        <v>211</v>
      </c>
      <c r="B179" s="1">
        <v>45858.670983796299</v>
      </c>
      <c r="C179" t="s">
        <v>101</v>
      </c>
      <c r="D179">
        <v>0</v>
      </c>
      <c r="E179">
        <v>11</v>
      </c>
      <c r="F179">
        <v>288</v>
      </c>
      <c r="G179">
        <f t="shared" si="4"/>
        <v>25276</v>
      </c>
      <c r="H179">
        <f t="shared" si="5"/>
        <v>53646</v>
      </c>
    </row>
    <row r="180" spans="1:8" x14ac:dyDescent="0.25">
      <c r="A180" t="s">
        <v>212</v>
      </c>
      <c r="B180" s="1">
        <v>45858.484375</v>
      </c>
      <c r="C180" t="s">
        <v>27</v>
      </c>
      <c r="D180">
        <v>0</v>
      </c>
      <c r="E180">
        <v>30</v>
      </c>
      <c r="F180">
        <v>299</v>
      </c>
      <c r="G180">
        <f t="shared" si="4"/>
        <v>25276</v>
      </c>
      <c r="H180">
        <f t="shared" si="5"/>
        <v>53646</v>
      </c>
    </row>
    <row r="181" spans="1:8" x14ac:dyDescent="0.25">
      <c r="A181" t="s">
        <v>213</v>
      </c>
      <c r="B181" s="1">
        <v>45858.470821759256</v>
      </c>
      <c r="C181" t="s">
        <v>18</v>
      </c>
      <c r="D181">
        <v>0</v>
      </c>
      <c r="E181">
        <v>25</v>
      </c>
      <c r="F181">
        <v>329</v>
      </c>
      <c r="G181">
        <f t="shared" si="4"/>
        <v>25276</v>
      </c>
      <c r="H181">
        <f t="shared" si="5"/>
        <v>53646</v>
      </c>
    </row>
    <row r="182" spans="1:8" x14ac:dyDescent="0.25">
      <c r="A182" t="s">
        <v>214</v>
      </c>
      <c r="B182" s="1">
        <v>45857.653865740744</v>
      </c>
      <c r="C182" t="s">
        <v>215</v>
      </c>
      <c r="D182">
        <v>0</v>
      </c>
      <c r="E182">
        <v>50</v>
      </c>
      <c r="F182">
        <v>354</v>
      </c>
      <c r="G182">
        <f t="shared" si="4"/>
        <v>25276</v>
      </c>
      <c r="H182">
        <f t="shared" si="5"/>
        <v>53646</v>
      </c>
    </row>
    <row r="183" spans="1:8" x14ac:dyDescent="0.25">
      <c r="A183" t="s">
        <v>216</v>
      </c>
      <c r="B183" s="1">
        <v>45857.6487037037</v>
      </c>
      <c r="C183" t="s">
        <v>217</v>
      </c>
      <c r="D183">
        <v>0</v>
      </c>
      <c r="E183">
        <v>25</v>
      </c>
      <c r="F183">
        <v>404</v>
      </c>
      <c r="G183">
        <f t="shared" si="4"/>
        <v>25276</v>
      </c>
      <c r="H183">
        <f t="shared" si="5"/>
        <v>53646</v>
      </c>
    </row>
    <row r="184" spans="1:8" x14ac:dyDescent="0.25">
      <c r="A184" t="s">
        <v>218</v>
      </c>
      <c r="B184" s="1">
        <v>45857.647638888891</v>
      </c>
      <c r="C184" t="s">
        <v>170</v>
      </c>
      <c r="D184">
        <v>0</v>
      </c>
      <c r="E184">
        <v>40</v>
      </c>
      <c r="F184">
        <v>429</v>
      </c>
      <c r="G184">
        <f t="shared" si="4"/>
        <v>25276</v>
      </c>
      <c r="H184">
        <f t="shared" si="5"/>
        <v>53646</v>
      </c>
    </row>
    <row r="185" spans="1:8" x14ac:dyDescent="0.25">
      <c r="A185" t="s">
        <v>219</v>
      </c>
      <c r="B185" s="1">
        <v>45857.494409722225</v>
      </c>
      <c r="C185" t="s">
        <v>14</v>
      </c>
      <c r="D185">
        <v>0</v>
      </c>
      <c r="E185">
        <v>30</v>
      </c>
      <c r="F185">
        <v>469</v>
      </c>
      <c r="G185">
        <f t="shared" si="4"/>
        <v>25276</v>
      </c>
      <c r="H185">
        <f t="shared" si="5"/>
        <v>53646</v>
      </c>
    </row>
    <row r="186" spans="1:8" x14ac:dyDescent="0.25">
      <c r="A186" t="s">
        <v>220</v>
      </c>
      <c r="B186" s="1">
        <v>45857.463090277779</v>
      </c>
      <c r="C186" t="s">
        <v>27</v>
      </c>
      <c r="D186">
        <v>0</v>
      </c>
      <c r="E186">
        <v>30</v>
      </c>
      <c r="F186">
        <v>499</v>
      </c>
      <c r="G186">
        <f t="shared" si="4"/>
        <v>25276</v>
      </c>
      <c r="H186">
        <f t="shared" si="5"/>
        <v>53646</v>
      </c>
    </row>
    <row r="187" spans="1:8" x14ac:dyDescent="0.25">
      <c r="A187" t="s">
        <v>221</v>
      </c>
      <c r="B187" s="1">
        <v>45857.458958333336</v>
      </c>
      <c r="C187" t="s">
        <v>18</v>
      </c>
      <c r="D187">
        <v>0</v>
      </c>
      <c r="E187">
        <v>25</v>
      </c>
      <c r="F187">
        <v>529</v>
      </c>
      <c r="G187">
        <f t="shared" si="4"/>
        <v>25276</v>
      </c>
      <c r="H187">
        <f t="shared" si="5"/>
        <v>53646</v>
      </c>
    </row>
    <row r="188" spans="1:8" x14ac:dyDescent="0.25">
      <c r="A188" t="s">
        <v>222</v>
      </c>
      <c r="B188" s="1">
        <v>45856.803391203706</v>
      </c>
      <c r="C188" t="s">
        <v>16</v>
      </c>
      <c r="D188">
        <v>0</v>
      </c>
      <c r="E188">
        <v>15</v>
      </c>
      <c r="F188">
        <v>554</v>
      </c>
      <c r="G188">
        <f t="shared" si="4"/>
        <v>25276</v>
      </c>
      <c r="H188">
        <f t="shared" si="5"/>
        <v>53646</v>
      </c>
    </row>
    <row r="189" spans="1:8" x14ac:dyDescent="0.25">
      <c r="A189" t="s">
        <v>223</v>
      </c>
      <c r="B189" s="1">
        <v>45856.801168981481</v>
      </c>
      <c r="C189" t="s">
        <v>16</v>
      </c>
      <c r="D189">
        <v>0</v>
      </c>
      <c r="E189">
        <v>15</v>
      </c>
      <c r="F189">
        <v>569</v>
      </c>
      <c r="G189">
        <f t="shared" si="4"/>
        <v>25276</v>
      </c>
      <c r="H189">
        <f t="shared" si="5"/>
        <v>53646</v>
      </c>
    </row>
    <row r="190" spans="1:8" x14ac:dyDescent="0.25">
      <c r="A190" t="s">
        <v>224</v>
      </c>
      <c r="B190" s="1">
        <v>45856.675150462965</v>
      </c>
      <c r="C190" t="s">
        <v>46</v>
      </c>
      <c r="D190">
        <v>0</v>
      </c>
      <c r="E190">
        <v>50</v>
      </c>
      <c r="F190">
        <v>584</v>
      </c>
      <c r="G190">
        <f t="shared" si="4"/>
        <v>25276</v>
      </c>
      <c r="H190">
        <f t="shared" si="5"/>
        <v>53646</v>
      </c>
    </row>
    <row r="191" spans="1:8" x14ac:dyDescent="0.25">
      <c r="A191" t="s">
        <v>225</v>
      </c>
      <c r="B191" s="1">
        <v>45856.598171296297</v>
      </c>
      <c r="C191" t="s">
        <v>27</v>
      </c>
      <c r="D191">
        <v>0</v>
      </c>
      <c r="E191">
        <v>30</v>
      </c>
      <c r="F191">
        <v>634</v>
      </c>
      <c r="G191">
        <f t="shared" si="4"/>
        <v>25276</v>
      </c>
      <c r="H191">
        <f t="shared" si="5"/>
        <v>53646</v>
      </c>
    </row>
    <row r="192" spans="1:8" x14ac:dyDescent="0.25">
      <c r="A192" t="s">
        <v>226</v>
      </c>
      <c r="B192" s="1">
        <v>45856.587511574071</v>
      </c>
      <c r="C192" t="s">
        <v>9</v>
      </c>
      <c r="D192">
        <v>0</v>
      </c>
      <c r="E192">
        <v>34</v>
      </c>
      <c r="F192">
        <v>664</v>
      </c>
      <c r="G192">
        <f t="shared" si="4"/>
        <v>25276</v>
      </c>
      <c r="H192">
        <f t="shared" si="5"/>
        <v>53646</v>
      </c>
    </row>
    <row r="193" spans="1:8" x14ac:dyDescent="0.25">
      <c r="A193" t="s">
        <v>226</v>
      </c>
      <c r="B193" s="1">
        <v>45856.587511574071</v>
      </c>
      <c r="C193" t="s">
        <v>227</v>
      </c>
      <c r="D193">
        <v>0</v>
      </c>
      <c r="E193">
        <v>4400</v>
      </c>
      <c r="F193">
        <v>698</v>
      </c>
      <c r="G193">
        <f t="shared" si="4"/>
        <v>25276</v>
      </c>
      <c r="H193">
        <f t="shared" si="5"/>
        <v>53646</v>
      </c>
    </row>
    <row r="194" spans="1:8" x14ac:dyDescent="0.25">
      <c r="A194" t="s">
        <v>228</v>
      </c>
      <c r="B194" s="1">
        <v>45856.579756944448</v>
      </c>
      <c r="C194" t="s">
        <v>101</v>
      </c>
      <c r="D194">
        <v>0</v>
      </c>
      <c r="E194">
        <v>11</v>
      </c>
      <c r="F194">
        <v>5098</v>
      </c>
      <c r="G194">
        <f t="shared" ref="G194:G260" si="6">SUM(E:E)</f>
        <v>25276</v>
      </c>
      <c r="H194">
        <f t="shared" ref="H194:H260" si="7">SUM(D:D)</f>
        <v>53646</v>
      </c>
    </row>
    <row r="195" spans="1:8" x14ac:dyDescent="0.25">
      <c r="A195" t="s">
        <v>229</v>
      </c>
      <c r="B195" s="1">
        <v>45856.492951388886</v>
      </c>
      <c r="C195" t="s">
        <v>44</v>
      </c>
      <c r="D195">
        <v>4000</v>
      </c>
      <c r="E195">
        <v>0</v>
      </c>
      <c r="F195">
        <v>5109</v>
      </c>
      <c r="G195">
        <f t="shared" si="6"/>
        <v>25276</v>
      </c>
      <c r="H195">
        <f t="shared" si="7"/>
        <v>53646</v>
      </c>
    </row>
    <row r="196" spans="1:8" x14ac:dyDescent="0.25">
      <c r="A196" t="s">
        <v>230</v>
      </c>
      <c r="B196" s="1">
        <v>45856.470173611109</v>
      </c>
      <c r="C196" t="s">
        <v>74</v>
      </c>
      <c r="D196">
        <v>100</v>
      </c>
      <c r="E196">
        <v>0</v>
      </c>
      <c r="F196">
        <v>1109</v>
      </c>
      <c r="G196">
        <f t="shared" si="6"/>
        <v>25276</v>
      </c>
      <c r="H196">
        <f t="shared" si="7"/>
        <v>53646</v>
      </c>
    </row>
    <row r="197" spans="1:8" x14ac:dyDescent="0.25">
      <c r="A197" t="s">
        <v>231</v>
      </c>
      <c r="B197" s="1">
        <v>45856.469340277778</v>
      </c>
      <c r="C197" t="s">
        <v>74</v>
      </c>
      <c r="D197">
        <v>1000</v>
      </c>
      <c r="E197">
        <v>0</v>
      </c>
      <c r="F197">
        <v>1009</v>
      </c>
      <c r="G197">
        <f t="shared" si="6"/>
        <v>25276</v>
      </c>
      <c r="H197">
        <f t="shared" si="7"/>
        <v>53646</v>
      </c>
    </row>
    <row r="198" spans="1:8" x14ac:dyDescent="0.25">
      <c r="A198" t="s">
        <v>232</v>
      </c>
      <c r="B198" s="1">
        <v>45855.457928240743</v>
      </c>
      <c r="C198" t="s">
        <v>27</v>
      </c>
      <c r="D198">
        <v>0</v>
      </c>
      <c r="E198">
        <v>30</v>
      </c>
      <c r="F198">
        <v>9</v>
      </c>
      <c r="G198">
        <f t="shared" si="6"/>
        <v>25276</v>
      </c>
      <c r="H198">
        <f t="shared" si="7"/>
        <v>53646</v>
      </c>
    </row>
    <row r="199" spans="1:8" x14ac:dyDescent="0.25">
      <c r="A199" t="s">
        <v>233</v>
      </c>
      <c r="B199" s="1">
        <v>45854.644745370373</v>
      </c>
      <c r="C199" t="s">
        <v>27</v>
      </c>
      <c r="D199">
        <v>0</v>
      </c>
      <c r="E199">
        <v>30</v>
      </c>
      <c r="F199">
        <v>39</v>
      </c>
      <c r="G199">
        <f t="shared" si="6"/>
        <v>25276</v>
      </c>
      <c r="H199">
        <f t="shared" si="7"/>
        <v>53646</v>
      </c>
    </row>
    <row r="200" spans="1:8" x14ac:dyDescent="0.25">
      <c r="A200" t="s">
        <v>234</v>
      </c>
      <c r="B200" s="1">
        <v>45854.637743055559</v>
      </c>
      <c r="C200" t="s">
        <v>74</v>
      </c>
      <c r="D200">
        <v>30</v>
      </c>
      <c r="E200">
        <v>0</v>
      </c>
      <c r="F200">
        <v>69</v>
      </c>
      <c r="G200">
        <f t="shared" si="6"/>
        <v>25276</v>
      </c>
      <c r="H200">
        <f t="shared" si="7"/>
        <v>53646</v>
      </c>
    </row>
    <row r="201" spans="1:8" x14ac:dyDescent="0.25">
      <c r="A201" t="s">
        <v>235</v>
      </c>
      <c r="B201" s="1">
        <v>45854.63559027778</v>
      </c>
      <c r="C201" t="s">
        <v>74</v>
      </c>
      <c r="D201">
        <v>30</v>
      </c>
      <c r="E201">
        <v>0</v>
      </c>
      <c r="F201">
        <v>39</v>
      </c>
      <c r="G201">
        <f t="shared" si="6"/>
        <v>25276</v>
      </c>
      <c r="H201">
        <f t="shared" si="7"/>
        <v>53646</v>
      </c>
    </row>
    <row r="202" spans="1:8" x14ac:dyDescent="0.25">
      <c r="A202" t="s">
        <v>236</v>
      </c>
      <c r="B202" s="1">
        <v>45854.425937499997</v>
      </c>
      <c r="C202" t="s">
        <v>18</v>
      </c>
      <c r="D202">
        <v>0</v>
      </c>
      <c r="E202">
        <v>20</v>
      </c>
      <c r="F202">
        <v>9</v>
      </c>
      <c r="G202">
        <f t="shared" si="6"/>
        <v>25276</v>
      </c>
      <c r="H202">
        <f t="shared" si="7"/>
        <v>53646</v>
      </c>
    </row>
    <row r="203" spans="1:8" x14ac:dyDescent="0.25">
      <c r="A203" t="s">
        <v>237</v>
      </c>
      <c r="B203" s="1">
        <v>45853.88077546296</v>
      </c>
      <c r="C203" t="s">
        <v>27</v>
      </c>
      <c r="D203">
        <v>0</v>
      </c>
      <c r="E203">
        <v>30</v>
      </c>
      <c r="F203">
        <v>29</v>
      </c>
      <c r="G203">
        <f t="shared" si="6"/>
        <v>25276</v>
      </c>
      <c r="H203">
        <f t="shared" si="7"/>
        <v>53646</v>
      </c>
    </row>
    <row r="204" spans="1:8" x14ac:dyDescent="0.25">
      <c r="A204" t="s">
        <v>238</v>
      </c>
      <c r="B204" s="1">
        <v>45853.804872685185</v>
      </c>
      <c r="C204" t="s">
        <v>16</v>
      </c>
      <c r="D204">
        <v>0</v>
      </c>
      <c r="E204">
        <v>80</v>
      </c>
      <c r="F204">
        <v>59</v>
      </c>
      <c r="G204">
        <f t="shared" si="6"/>
        <v>25276</v>
      </c>
      <c r="H204">
        <f t="shared" si="7"/>
        <v>53646</v>
      </c>
    </row>
    <row r="205" spans="1:8" x14ac:dyDescent="0.25">
      <c r="A205" t="s">
        <v>239</v>
      </c>
      <c r="B205" s="1">
        <v>45853.800798611112</v>
      </c>
      <c r="C205" t="s">
        <v>74</v>
      </c>
      <c r="D205">
        <v>100</v>
      </c>
      <c r="E205">
        <v>0</v>
      </c>
      <c r="F205">
        <v>139</v>
      </c>
      <c r="G205">
        <f t="shared" si="6"/>
        <v>25276</v>
      </c>
      <c r="H205">
        <f t="shared" si="7"/>
        <v>53646</v>
      </c>
    </row>
    <row r="206" spans="1:8" x14ac:dyDescent="0.25">
      <c r="A206" t="s">
        <v>240</v>
      </c>
      <c r="B206" s="1">
        <v>45852.674108796295</v>
      </c>
      <c r="C206" t="s">
        <v>27</v>
      </c>
      <c r="D206">
        <v>0</v>
      </c>
      <c r="E206">
        <v>30</v>
      </c>
      <c r="F206">
        <v>39</v>
      </c>
      <c r="G206">
        <f t="shared" si="6"/>
        <v>25276</v>
      </c>
      <c r="H206">
        <f t="shared" si="7"/>
        <v>53646</v>
      </c>
    </row>
    <row r="207" spans="1:8" x14ac:dyDescent="0.25">
      <c r="A207" t="s">
        <v>241</v>
      </c>
      <c r="B207" s="1">
        <v>45852.514791666668</v>
      </c>
      <c r="C207" t="s">
        <v>242</v>
      </c>
      <c r="D207">
        <v>0</v>
      </c>
      <c r="E207">
        <v>15</v>
      </c>
      <c r="F207">
        <v>69</v>
      </c>
      <c r="G207">
        <f t="shared" si="6"/>
        <v>25276</v>
      </c>
      <c r="H207">
        <f t="shared" si="7"/>
        <v>53646</v>
      </c>
    </row>
    <row r="208" spans="1:8" x14ac:dyDescent="0.25">
      <c r="A208" t="s">
        <v>243</v>
      </c>
      <c r="B208" s="1">
        <v>45852.484861111108</v>
      </c>
      <c r="C208" t="s">
        <v>18</v>
      </c>
      <c r="D208">
        <v>0</v>
      </c>
      <c r="E208">
        <v>25</v>
      </c>
      <c r="F208">
        <v>84</v>
      </c>
      <c r="G208">
        <f t="shared" si="6"/>
        <v>25276</v>
      </c>
      <c r="H208">
        <f t="shared" si="7"/>
        <v>53646</v>
      </c>
    </row>
    <row r="209" spans="1:8" x14ac:dyDescent="0.25">
      <c r="A209" t="s">
        <v>244</v>
      </c>
      <c r="B209" s="1">
        <v>45852.478009259263</v>
      </c>
      <c r="C209" t="s">
        <v>74</v>
      </c>
      <c r="D209">
        <v>100</v>
      </c>
      <c r="E209">
        <v>0</v>
      </c>
      <c r="F209">
        <v>109</v>
      </c>
      <c r="G209">
        <f t="shared" si="6"/>
        <v>25276</v>
      </c>
      <c r="H209">
        <f t="shared" si="7"/>
        <v>53646</v>
      </c>
    </row>
    <row r="210" spans="1:8" x14ac:dyDescent="0.25">
      <c r="A210" t="s">
        <v>245</v>
      </c>
      <c r="B210" s="1">
        <v>45851.501608796294</v>
      </c>
      <c r="C210" t="s">
        <v>118</v>
      </c>
      <c r="D210">
        <v>0</v>
      </c>
      <c r="E210">
        <v>3</v>
      </c>
      <c r="F210">
        <v>9</v>
      </c>
      <c r="G210">
        <f t="shared" si="6"/>
        <v>25276</v>
      </c>
      <c r="H210">
        <f t="shared" si="7"/>
        <v>53646</v>
      </c>
    </row>
    <row r="211" spans="1:8" x14ac:dyDescent="0.25">
      <c r="A211" t="s">
        <v>246</v>
      </c>
      <c r="B211" s="1">
        <v>45851.475891203707</v>
      </c>
      <c r="C211" t="s">
        <v>27</v>
      </c>
      <c r="D211">
        <v>0</v>
      </c>
      <c r="E211">
        <v>30</v>
      </c>
      <c r="F211">
        <v>12</v>
      </c>
      <c r="G211">
        <f t="shared" si="6"/>
        <v>25276</v>
      </c>
      <c r="H211">
        <f t="shared" si="7"/>
        <v>53646</v>
      </c>
    </row>
    <row r="212" spans="1:8" x14ac:dyDescent="0.25">
      <c r="A212" t="s">
        <v>247</v>
      </c>
      <c r="B212" s="1">
        <v>45850.432870370372</v>
      </c>
      <c r="C212" t="s">
        <v>27</v>
      </c>
      <c r="D212">
        <v>0</v>
      </c>
      <c r="E212">
        <v>30</v>
      </c>
      <c r="F212">
        <v>42</v>
      </c>
      <c r="G212">
        <f t="shared" si="6"/>
        <v>25276</v>
      </c>
      <c r="H212">
        <f t="shared" si="7"/>
        <v>53646</v>
      </c>
    </row>
    <row r="213" spans="1:8" x14ac:dyDescent="0.25">
      <c r="A213" t="s">
        <v>248</v>
      </c>
      <c r="B213" s="1">
        <v>45849.93309027778</v>
      </c>
      <c r="C213" t="s">
        <v>101</v>
      </c>
      <c r="D213">
        <v>0</v>
      </c>
      <c r="E213">
        <v>11</v>
      </c>
      <c r="F213">
        <v>72</v>
      </c>
      <c r="G213">
        <f t="shared" si="6"/>
        <v>25276</v>
      </c>
      <c r="H213">
        <f t="shared" si="7"/>
        <v>53646</v>
      </c>
    </row>
    <row r="214" spans="1:8" x14ac:dyDescent="0.25">
      <c r="A214" t="s">
        <v>249</v>
      </c>
      <c r="B214" s="1">
        <v>45849.709733796299</v>
      </c>
      <c r="C214" t="s">
        <v>16</v>
      </c>
      <c r="D214">
        <v>0</v>
      </c>
      <c r="E214">
        <v>10</v>
      </c>
      <c r="F214">
        <v>83</v>
      </c>
      <c r="G214">
        <f t="shared" si="6"/>
        <v>25276</v>
      </c>
      <c r="H214">
        <f t="shared" si="7"/>
        <v>53646</v>
      </c>
    </row>
    <row r="215" spans="1:8" x14ac:dyDescent="0.25">
      <c r="A215" t="s">
        <v>250</v>
      </c>
      <c r="B215" s="1">
        <v>45849.708958333336</v>
      </c>
      <c r="C215" t="s">
        <v>16</v>
      </c>
      <c r="D215">
        <v>0</v>
      </c>
      <c r="E215">
        <v>265</v>
      </c>
      <c r="F215">
        <v>93</v>
      </c>
      <c r="G215">
        <f t="shared" si="6"/>
        <v>25276</v>
      </c>
      <c r="H215">
        <f t="shared" si="7"/>
        <v>53646</v>
      </c>
    </row>
    <row r="216" spans="1:8" x14ac:dyDescent="0.25">
      <c r="A216" t="s">
        <v>251</v>
      </c>
      <c r="B216" s="1">
        <v>45849.700879629629</v>
      </c>
      <c r="C216" t="s">
        <v>37</v>
      </c>
      <c r="D216">
        <v>0</v>
      </c>
      <c r="E216">
        <v>60</v>
      </c>
      <c r="F216">
        <v>358</v>
      </c>
      <c r="G216">
        <f t="shared" si="6"/>
        <v>25276</v>
      </c>
      <c r="H216">
        <f t="shared" si="7"/>
        <v>53646</v>
      </c>
    </row>
    <row r="217" spans="1:8" x14ac:dyDescent="0.25">
      <c r="A217" t="s">
        <v>252</v>
      </c>
      <c r="B217" s="1">
        <v>45849.495474537034</v>
      </c>
      <c r="C217" t="s">
        <v>242</v>
      </c>
      <c r="D217">
        <v>0</v>
      </c>
      <c r="E217">
        <v>29</v>
      </c>
      <c r="F217">
        <v>418</v>
      </c>
      <c r="G217">
        <f t="shared" si="6"/>
        <v>25276</v>
      </c>
      <c r="H217">
        <f t="shared" si="7"/>
        <v>53646</v>
      </c>
    </row>
    <row r="218" spans="1:8" x14ac:dyDescent="0.25">
      <c r="A218" t="s">
        <v>253</v>
      </c>
      <c r="B218" s="1">
        <v>45849.431018518517</v>
      </c>
      <c r="C218" t="s">
        <v>101</v>
      </c>
      <c r="D218">
        <v>0</v>
      </c>
      <c r="E218">
        <v>11</v>
      </c>
      <c r="F218">
        <v>447</v>
      </c>
      <c r="G218">
        <f t="shared" si="6"/>
        <v>25276</v>
      </c>
      <c r="H218">
        <f t="shared" si="7"/>
        <v>53646</v>
      </c>
    </row>
    <row r="219" spans="1:8" x14ac:dyDescent="0.25">
      <c r="A219" t="s">
        <v>254</v>
      </c>
      <c r="B219" s="1">
        <v>45849.388055555559</v>
      </c>
      <c r="C219" t="s">
        <v>242</v>
      </c>
      <c r="D219">
        <v>0</v>
      </c>
      <c r="E219">
        <v>10</v>
      </c>
      <c r="F219">
        <v>458</v>
      </c>
      <c r="G219">
        <f t="shared" si="6"/>
        <v>25276</v>
      </c>
      <c r="H219">
        <f t="shared" si="7"/>
        <v>53646</v>
      </c>
    </row>
    <row r="220" spans="1:8" x14ac:dyDescent="0.25">
      <c r="A220" t="s">
        <v>255</v>
      </c>
      <c r="B220" s="1">
        <v>45849.373078703706</v>
      </c>
      <c r="C220" t="s">
        <v>27</v>
      </c>
      <c r="D220">
        <v>0</v>
      </c>
      <c r="E220">
        <v>30</v>
      </c>
      <c r="F220">
        <v>468</v>
      </c>
      <c r="G220">
        <f t="shared" si="6"/>
        <v>25276</v>
      </c>
      <c r="H220">
        <f t="shared" si="7"/>
        <v>53646</v>
      </c>
    </row>
    <row r="221" spans="1:8" x14ac:dyDescent="0.25">
      <c r="A221" t="s">
        <v>256</v>
      </c>
      <c r="B221" s="1">
        <v>45848.674375000002</v>
      </c>
      <c r="C221" t="s">
        <v>27</v>
      </c>
      <c r="D221">
        <v>0</v>
      </c>
      <c r="E221">
        <v>30</v>
      </c>
      <c r="F221">
        <v>498</v>
      </c>
      <c r="G221">
        <f t="shared" si="6"/>
        <v>25276</v>
      </c>
      <c r="H221">
        <f t="shared" si="7"/>
        <v>53646</v>
      </c>
    </row>
    <row r="222" spans="1:8" x14ac:dyDescent="0.25">
      <c r="A222" t="s">
        <v>257</v>
      </c>
      <c r="B222" s="1">
        <v>45848.673252314817</v>
      </c>
      <c r="C222" t="s">
        <v>21</v>
      </c>
      <c r="D222">
        <v>0</v>
      </c>
      <c r="E222">
        <v>53</v>
      </c>
      <c r="F222">
        <v>528</v>
      </c>
      <c r="G222">
        <f t="shared" si="6"/>
        <v>25276</v>
      </c>
      <c r="H222">
        <f t="shared" si="7"/>
        <v>53646</v>
      </c>
    </row>
    <row r="223" spans="1:8" x14ac:dyDescent="0.25">
      <c r="A223" t="s">
        <v>257</v>
      </c>
      <c r="B223" s="1">
        <v>45848.673252314817</v>
      </c>
      <c r="C223" t="s">
        <v>23</v>
      </c>
      <c r="D223">
        <v>0</v>
      </c>
      <c r="E223">
        <v>3200</v>
      </c>
      <c r="F223">
        <v>581</v>
      </c>
      <c r="G223">
        <f t="shared" si="6"/>
        <v>25276</v>
      </c>
      <c r="H223">
        <f t="shared" si="7"/>
        <v>53646</v>
      </c>
    </row>
    <row r="224" spans="1:8" x14ac:dyDescent="0.25">
      <c r="A224" t="s">
        <v>258</v>
      </c>
      <c r="B224" s="1">
        <v>45848.659872685188</v>
      </c>
      <c r="C224" t="s">
        <v>16</v>
      </c>
      <c r="D224">
        <v>0</v>
      </c>
      <c r="E224">
        <v>1235</v>
      </c>
      <c r="F224">
        <v>3781</v>
      </c>
      <c r="G224">
        <f t="shared" si="6"/>
        <v>25276</v>
      </c>
      <c r="H224">
        <f t="shared" si="7"/>
        <v>53646</v>
      </c>
    </row>
    <row r="225" spans="1:8" x14ac:dyDescent="0.25">
      <c r="A225" t="s">
        <v>259</v>
      </c>
      <c r="B225" s="1">
        <v>45848.64298611111</v>
      </c>
      <c r="C225" t="s">
        <v>260</v>
      </c>
      <c r="D225">
        <v>0</v>
      </c>
      <c r="E225">
        <v>80</v>
      </c>
      <c r="F225">
        <v>5016</v>
      </c>
      <c r="G225">
        <f t="shared" si="6"/>
        <v>25276</v>
      </c>
      <c r="H225">
        <f t="shared" si="7"/>
        <v>53646</v>
      </c>
    </row>
    <row r="226" spans="1:8" x14ac:dyDescent="0.25">
      <c r="A226" t="s">
        <v>261</v>
      </c>
      <c r="B226" s="1">
        <v>45848.638287037036</v>
      </c>
      <c r="C226" t="s">
        <v>99</v>
      </c>
      <c r="D226">
        <v>0</v>
      </c>
      <c r="E226">
        <v>100</v>
      </c>
      <c r="F226">
        <v>5096</v>
      </c>
      <c r="G226">
        <f t="shared" si="6"/>
        <v>25276</v>
      </c>
      <c r="H226">
        <f t="shared" si="7"/>
        <v>53646</v>
      </c>
    </row>
    <row r="227" spans="1:8" x14ac:dyDescent="0.25">
      <c r="A227" t="s">
        <v>262</v>
      </c>
      <c r="B227" s="1">
        <v>45848.631215277775</v>
      </c>
      <c r="C227" t="s">
        <v>263</v>
      </c>
      <c r="D227">
        <v>0</v>
      </c>
      <c r="E227">
        <v>55</v>
      </c>
      <c r="F227">
        <v>5196</v>
      </c>
      <c r="G227">
        <f t="shared" si="6"/>
        <v>25276</v>
      </c>
      <c r="H227">
        <f t="shared" si="7"/>
        <v>53646</v>
      </c>
    </row>
    <row r="228" spans="1:8" x14ac:dyDescent="0.25">
      <c r="A228" t="s">
        <v>264</v>
      </c>
      <c r="B228" s="1">
        <v>45848.562280092592</v>
      </c>
      <c r="C228" t="s">
        <v>176</v>
      </c>
      <c r="D228">
        <v>0</v>
      </c>
      <c r="E228">
        <v>22</v>
      </c>
      <c r="F228">
        <v>5251</v>
      </c>
      <c r="G228">
        <f t="shared" si="6"/>
        <v>25276</v>
      </c>
      <c r="H228">
        <f t="shared" si="7"/>
        <v>53646</v>
      </c>
    </row>
    <row r="229" spans="1:8" x14ac:dyDescent="0.25">
      <c r="A229" t="s">
        <v>265</v>
      </c>
      <c r="B229" s="1">
        <v>45848.507511574076</v>
      </c>
      <c r="C229" t="s">
        <v>12</v>
      </c>
      <c r="D229">
        <v>5000</v>
      </c>
      <c r="E229">
        <v>0</v>
      </c>
      <c r="F229">
        <v>5273</v>
      </c>
      <c r="G229">
        <f t="shared" si="6"/>
        <v>25276</v>
      </c>
      <c r="H229">
        <f t="shared" si="7"/>
        <v>53646</v>
      </c>
    </row>
    <row r="230" spans="1:8" x14ac:dyDescent="0.25">
      <c r="A230" t="s">
        <v>266</v>
      </c>
      <c r="B230" s="1">
        <v>45847.834976851853</v>
      </c>
      <c r="C230" t="s">
        <v>16</v>
      </c>
      <c r="D230">
        <v>0</v>
      </c>
      <c r="E230">
        <v>30</v>
      </c>
      <c r="F230">
        <v>273</v>
      </c>
      <c r="G230">
        <f t="shared" si="6"/>
        <v>25276</v>
      </c>
      <c r="H230">
        <f t="shared" si="7"/>
        <v>53646</v>
      </c>
    </row>
    <row r="231" spans="1:8" x14ac:dyDescent="0.25">
      <c r="A231" t="s">
        <v>267</v>
      </c>
      <c r="B231" s="1">
        <v>45847.834247685183</v>
      </c>
      <c r="C231" t="s">
        <v>14</v>
      </c>
      <c r="D231">
        <v>0</v>
      </c>
      <c r="E231">
        <v>30</v>
      </c>
      <c r="F231">
        <v>303</v>
      </c>
      <c r="G231">
        <f t="shared" si="6"/>
        <v>25276</v>
      </c>
      <c r="H231">
        <f t="shared" si="7"/>
        <v>53646</v>
      </c>
    </row>
    <row r="232" spans="1:8" x14ac:dyDescent="0.25">
      <c r="A232" t="s">
        <v>268</v>
      </c>
      <c r="B232" s="1">
        <v>45847.830995370372</v>
      </c>
      <c r="C232" t="s">
        <v>82</v>
      </c>
      <c r="D232">
        <v>0</v>
      </c>
      <c r="E232">
        <v>25</v>
      </c>
      <c r="F232">
        <v>333</v>
      </c>
      <c r="G232">
        <f t="shared" si="6"/>
        <v>25276</v>
      </c>
      <c r="H232">
        <f t="shared" si="7"/>
        <v>53646</v>
      </c>
    </row>
    <row r="233" spans="1:8" x14ac:dyDescent="0.25">
      <c r="A233" t="s">
        <v>269</v>
      </c>
      <c r="B233" s="1">
        <v>45847.647939814815</v>
      </c>
      <c r="C233" t="s">
        <v>27</v>
      </c>
      <c r="D233">
        <v>0</v>
      </c>
      <c r="E233">
        <v>30</v>
      </c>
      <c r="F233">
        <v>358</v>
      </c>
      <c r="G233">
        <f t="shared" si="6"/>
        <v>25276</v>
      </c>
      <c r="H233">
        <f t="shared" si="7"/>
        <v>53646</v>
      </c>
    </row>
    <row r="234" spans="1:8" x14ac:dyDescent="0.25">
      <c r="A234" t="s">
        <v>270</v>
      </c>
      <c r="B234" s="1">
        <v>45847.629166666666</v>
      </c>
      <c r="C234" t="s">
        <v>16</v>
      </c>
      <c r="D234">
        <v>0</v>
      </c>
      <c r="E234">
        <v>115</v>
      </c>
      <c r="F234">
        <v>388</v>
      </c>
      <c r="G234">
        <f t="shared" si="6"/>
        <v>25276</v>
      </c>
      <c r="H234">
        <f t="shared" si="7"/>
        <v>53646</v>
      </c>
    </row>
    <row r="235" spans="1:8" x14ac:dyDescent="0.25">
      <c r="A235" t="s">
        <v>271</v>
      </c>
      <c r="B235" s="1">
        <v>45847.449733796297</v>
      </c>
      <c r="C235" t="s">
        <v>52</v>
      </c>
      <c r="D235">
        <v>100</v>
      </c>
      <c r="E235">
        <v>0</v>
      </c>
      <c r="F235">
        <v>503</v>
      </c>
      <c r="G235">
        <f t="shared" si="6"/>
        <v>25276</v>
      </c>
      <c r="H235">
        <f t="shared" si="7"/>
        <v>53646</v>
      </c>
    </row>
    <row r="236" spans="1:8" x14ac:dyDescent="0.25">
      <c r="A236" t="s">
        <v>272</v>
      </c>
      <c r="B236" s="1">
        <v>45847.448877314811</v>
      </c>
      <c r="C236" t="s">
        <v>52</v>
      </c>
      <c r="D236">
        <v>100</v>
      </c>
      <c r="E236">
        <v>0</v>
      </c>
      <c r="F236">
        <v>403</v>
      </c>
      <c r="G236">
        <f t="shared" si="6"/>
        <v>25276</v>
      </c>
      <c r="H236">
        <f t="shared" si="7"/>
        <v>53646</v>
      </c>
    </row>
    <row r="237" spans="1:8" x14ac:dyDescent="0.25">
      <c r="A237" t="s">
        <v>273</v>
      </c>
      <c r="B237" s="1">
        <v>45846.906168981484</v>
      </c>
      <c r="C237" t="s">
        <v>27</v>
      </c>
      <c r="D237">
        <v>0</v>
      </c>
      <c r="E237">
        <v>30</v>
      </c>
      <c r="F237">
        <v>303</v>
      </c>
      <c r="G237">
        <f t="shared" si="6"/>
        <v>25276</v>
      </c>
      <c r="H237">
        <f t="shared" si="7"/>
        <v>53646</v>
      </c>
    </row>
    <row r="238" spans="1:8" x14ac:dyDescent="0.25">
      <c r="A238" t="s">
        <v>274</v>
      </c>
      <c r="B238" s="1">
        <v>45846.796701388892</v>
      </c>
      <c r="C238" t="s">
        <v>16</v>
      </c>
      <c r="D238">
        <v>0</v>
      </c>
      <c r="E238">
        <v>40</v>
      </c>
      <c r="F238">
        <v>333</v>
      </c>
      <c r="G238">
        <f t="shared" si="6"/>
        <v>25276</v>
      </c>
      <c r="H238">
        <f t="shared" si="7"/>
        <v>53646</v>
      </c>
    </row>
    <row r="239" spans="1:8" x14ac:dyDescent="0.25">
      <c r="A239" t="s">
        <v>275</v>
      </c>
      <c r="B239" s="1">
        <v>45846.795393518521</v>
      </c>
      <c r="C239" t="s">
        <v>14</v>
      </c>
      <c r="D239">
        <v>0</v>
      </c>
      <c r="E239">
        <v>20</v>
      </c>
      <c r="F239">
        <v>373</v>
      </c>
      <c r="G239">
        <f t="shared" si="6"/>
        <v>25276</v>
      </c>
      <c r="H239">
        <f t="shared" si="7"/>
        <v>53646</v>
      </c>
    </row>
    <row r="240" spans="1:8" x14ac:dyDescent="0.25">
      <c r="A240" t="s">
        <v>276</v>
      </c>
      <c r="B240" s="1">
        <v>45846.792685185188</v>
      </c>
      <c r="C240" t="s">
        <v>48</v>
      </c>
      <c r="D240">
        <v>0</v>
      </c>
      <c r="E240">
        <v>60</v>
      </c>
      <c r="F240">
        <v>393</v>
      </c>
      <c r="G240">
        <f t="shared" si="6"/>
        <v>25276</v>
      </c>
      <c r="H240">
        <f t="shared" si="7"/>
        <v>53646</v>
      </c>
    </row>
    <row r="241" spans="1:8" x14ac:dyDescent="0.25">
      <c r="A241" t="s">
        <v>277</v>
      </c>
      <c r="B241" s="1">
        <v>45846.570625</v>
      </c>
      <c r="C241" t="s">
        <v>16</v>
      </c>
      <c r="D241">
        <v>0</v>
      </c>
      <c r="E241">
        <v>55</v>
      </c>
      <c r="F241">
        <v>453</v>
      </c>
      <c r="G241">
        <f t="shared" si="6"/>
        <v>25276</v>
      </c>
      <c r="H241">
        <f t="shared" si="7"/>
        <v>53646</v>
      </c>
    </row>
    <row r="242" spans="1:8" x14ac:dyDescent="0.25">
      <c r="A242" t="s">
        <v>278</v>
      </c>
      <c r="B242" s="1">
        <v>45846.475960648146</v>
      </c>
      <c r="C242" t="s">
        <v>27</v>
      </c>
      <c r="D242">
        <v>0</v>
      </c>
      <c r="E242">
        <v>30</v>
      </c>
      <c r="F242">
        <v>508</v>
      </c>
      <c r="G242">
        <f t="shared" si="6"/>
        <v>25276</v>
      </c>
      <c r="H242">
        <f t="shared" si="7"/>
        <v>53646</v>
      </c>
    </row>
    <row r="243" spans="1:8" x14ac:dyDescent="0.25">
      <c r="A243" t="s">
        <v>279</v>
      </c>
      <c r="B243" s="1">
        <v>45846.437962962962</v>
      </c>
      <c r="C243" t="s">
        <v>18</v>
      </c>
      <c r="D243">
        <v>0</v>
      </c>
      <c r="E243">
        <v>45</v>
      </c>
      <c r="F243">
        <v>538</v>
      </c>
      <c r="G243">
        <f t="shared" si="6"/>
        <v>25276</v>
      </c>
      <c r="H243">
        <f t="shared" si="7"/>
        <v>53646</v>
      </c>
    </row>
    <row r="244" spans="1:8" x14ac:dyDescent="0.25">
      <c r="A244" t="s">
        <v>280</v>
      </c>
      <c r="B244" s="1">
        <v>45845.856180555558</v>
      </c>
      <c r="C244" t="s">
        <v>27</v>
      </c>
      <c r="D244">
        <v>0</v>
      </c>
      <c r="E244">
        <v>30</v>
      </c>
      <c r="F244">
        <v>583</v>
      </c>
      <c r="G244">
        <f t="shared" si="6"/>
        <v>25276</v>
      </c>
      <c r="H244">
        <f t="shared" si="7"/>
        <v>53646</v>
      </c>
    </row>
    <row r="245" spans="1:8" x14ac:dyDescent="0.25">
      <c r="A245" t="s">
        <v>281</v>
      </c>
      <c r="B245" s="1">
        <v>45845.844571759262</v>
      </c>
      <c r="C245" t="s">
        <v>16</v>
      </c>
      <c r="D245">
        <v>0</v>
      </c>
      <c r="E245">
        <v>45</v>
      </c>
      <c r="F245">
        <v>613</v>
      </c>
      <c r="G245">
        <f t="shared" si="6"/>
        <v>25276</v>
      </c>
      <c r="H245">
        <f t="shared" si="7"/>
        <v>53646</v>
      </c>
    </row>
    <row r="246" spans="1:8" x14ac:dyDescent="0.25">
      <c r="A246" t="s">
        <v>282</v>
      </c>
      <c r="B246" s="1">
        <v>45845.820775462962</v>
      </c>
      <c r="C246" t="s">
        <v>44</v>
      </c>
      <c r="D246">
        <v>500</v>
      </c>
      <c r="E246">
        <v>0</v>
      </c>
      <c r="F246">
        <v>658</v>
      </c>
      <c r="G246">
        <f t="shared" si="6"/>
        <v>25276</v>
      </c>
      <c r="H246">
        <f t="shared" si="7"/>
        <v>53646</v>
      </c>
    </row>
    <row r="247" spans="1:8" x14ac:dyDescent="0.25">
      <c r="A247" t="s">
        <v>283</v>
      </c>
      <c r="B247" s="1">
        <v>45845.759571759256</v>
      </c>
      <c r="C247" t="s">
        <v>260</v>
      </c>
      <c r="D247">
        <v>0</v>
      </c>
      <c r="E247">
        <v>35</v>
      </c>
      <c r="F247">
        <v>158</v>
      </c>
      <c r="G247">
        <f t="shared" si="6"/>
        <v>25276</v>
      </c>
      <c r="H247">
        <f t="shared" si="7"/>
        <v>53646</v>
      </c>
    </row>
    <row r="248" spans="1:8" x14ac:dyDescent="0.25">
      <c r="A248" t="s">
        <v>284</v>
      </c>
      <c r="B248" s="1">
        <v>45845.757604166669</v>
      </c>
      <c r="C248" t="s">
        <v>285</v>
      </c>
      <c r="D248">
        <v>0</v>
      </c>
      <c r="E248">
        <v>25</v>
      </c>
      <c r="F248">
        <v>193</v>
      </c>
      <c r="G248">
        <f t="shared" si="6"/>
        <v>25276</v>
      </c>
      <c r="H248">
        <f t="shared" si="7"/>
        <v>53646</v>
      </c>
    </row>
    <row r="249" spans="1:8" x14ac:dyDescent="0.25">
      <c r="A249" t="s">
        <v>286</v>
      </c>
      <c r="B249" s="1">
        <v>45845.67864583333</v>
      </c>
      <c r="C249" t="s">
        <v>16</v>
      </c>
      <c r="D249">
        <v>0</v>
      </c>
      <c r="E249">
        <v>30</v>
      </c>
      <c r="F249">
        <v>218</v>
      </c>
      <c r="G249">
        <f t="shared" si="6"/>
        <v>25276</v>
      </c>
      <c r="H249">
        <f t="shared" si="7"/>
        <v>53646</v>
      </c>
    </row>
    <row r="250" spans="1:8" x14ac:dyDescent="0.25">
      <c r="A250" t="s">
        <v>287</v>
      </c>
      <c r="B250" s="1">
        <v>45845.676701388889</v>
      </c>
      <c r="C250" t="s">
        <v>14</v>
      </c>
      <c r="D250">
        <v>0</v>
      </c>
      <c r="E250">
        <v>60</v>
      </c>
      <c r="F250">
        <v>248</v>
      </c>
      <c r="G250">
        <f t="shared" si="6"/>
        <v>25276</v>
      </c>
      <c r="H250">
        <f t="shared" si="7"/>
        <v>53646</v>
      </c>
    </row>
    <row r="251" spans="1:8" x14ac:dyDescent="0.25">
      <c r="A251" t="s">
        <v>288</v>
      </c>
      <c r="B251" s="1">
        <v>45845.671319444446</v>
      </c>
      <c r="C251" t="s">
        <v>44</v>
      </c>
      <c r="D251">
        <v>300</v>
      </c>
      <c r="E251">
        <v>0</v>
      </c>
      <c r="F251">
        <v>308</v>
      </c>
      <c r="G251">
        <f t="shared" si="6"/>
        <v>25276</v>
      </c>
      <c r="H251">
        <f t="shared" si="7"/>
        <v>53646</v>
      </c>
    </row>
    <row r="252" spans="1:8" x14ac:dyDescent="0.25">
      <c r="A252" t="s">
        <v>289</v>
      </c>
      <c r="B252" s="1">
        <v>45844.834305555552</v>
      </c>
      <c r="C252" t="s">
        <v>27</v>
      </c>
      <c r="D252">
        <v>0</v>
      </c>
      <c r="E252">
        <v>20</v>
      </c>
      <c r="F252">
        <v>8</v>
      </c>
      <c r="G252">
        <f t="shared" si="6"/>
        <v>25276</v>
      </c>
      <c r="H252">
        <f t="shared" si="7"/>
        <v>53646</v>
      </c>
    </row>
    <row r="253" spans="1:8" x14ac:dyDescent="0.25">
      <c r="A253" t="s">
        <v>290</v>
      </c>
      <c r="B253" s="1">
        <v>45844.832546296297</v>
      </c>
      <c r="C253" t="s">
        <v>44</v>
      </c>
      <c r="D253">
        <v>7</v>
      </c>
      <c r="E253">
        <v>0</v>
      </c>
      <c r="F253">
        <v>28</v>
      </c>
      <c r="G253">
        <f t="shared" si="6"/>
        <v>25276</v>
      </c>
      <c r="H253">
        <f t="shared" si="7"/>
        <v>53646</v>
      </c>
    </row>
    <row r="254" spans="1:8" x14ac:dyDescent="0.25">
      <c r="A254" t="s">
        <v>291</v>
      </c>
      <c r="B254" s="1">
        <v>45844.831828703704</v>
      </c>
      <c r="C254" t="s">
        <v>101</v>
      </c>
      <c r="D254">
        <v>0</v>
      </c>
      <c r="E254">
        <v>6</v>
      </c>
      <c r="F254">
        <v>21</v>
      </c>
      <c r="G254">
        <f t="shared" si="6"/>
        <v>25276</v>
      </c>
      <c r="H254">
        <f t="shared" si="7"/>
        <v>53646</v>
      </c>
    </row>
    <row r="255" spans="1:8" x14ac:dyDescent="0.25">
      <c r="A255" t="s">
        <v>292</v>
      </c>
      <c r="B255" s="1">
        <v>45844.823576388888</v>
      </c>
      <c r="C255" t="s">
        <v>21</v>
      </c>
      <c r="D255">
        <v>0</v>
      </c>
      <c r="E255">
        <v>7</v>
      </c>
      <c r="F255">
        <v>27</v>
      </c>
      <c r="G255">
        <f t="shared" si="6"/>
        <v>25276</v>
      </c>
      <c r="H255">
        <f t="shared" si="7"/>
        <v>53646</v>
      </c>
    </row>
    <row r="256" spans="1:8" x14ac:dyDescent="0.25">
      <c r="A256" t="s">
        <v>292</v>
      </c>
      <c r="B256" s="1">
        <v>45844.823576388888</v>
      </c>
      <c r="C256" t="s">
        <v>31</v>
      </c>
      <c r="D256">
        <v>0</v>
      </c>
      <c r="E256">
        <v>500</v>
      </c>
      <c r="F256">
        <v>34</v>
      </c>
      <c r="G256">
        <f t="shared" si="6"/>
        <v>25276</v>
      </c>
      <c r="H256">
        <f t="shared" si="7"/>
        <v>53646</v>
      </c>
    </row>
    <row r="257" spans="1:8" x14ac:dyDescent="0.25">
      <c r="A257" t="s">
        <v>293</v>
      </c>
      <c r="B257" s="1">
        <v>45844.81453703704</v>
      </c>
      <c r="C257" t="s">
        <v>44</v>
      </c>
      <c r="D257">
        <v>500</v>
      </c>
      <c r="E257">
        <v>0</v>
      </c>
      <c r="F257">
        <v>534</v>
      </c>
      <c r="G257">
        <f t="shared" si="6"/>
        <v>25276</v>
      </c>
      <c r="H257">
        <f t="shared" si="7"/>
        <v>53646</v>
      </c>
    </row>
    <row r="258" spans="1:8" x14ac:dyDescent="0.25">
      <c r="A258" t="s">
        <v>294</v>
      </c>
      <c r="B258" s="1">
        <v>45844.754305555558</v>
      </c>
      <c r="C258" t="s">
        <v>101</v>
      </c>
      <c r="D258">
        <v>0</v>
      </c>
      <c r="E258">
        <v>6</v>
      </c>
      <c r="F258">
        <v>34</v>
      </c>
      <c r="G258">
        <f t="shared" si="6"/>
        <v>25276</v>
      </c>
      <c r="H258">
        <f t="shared" si="7"/>
        <v>53646</v>
      </c>
    </row>
    <row r="259" spans="1:8" x14ac:dyDescent="0.25">
      <c r="A259" t="s">
        <v>295</v>
      </c>
      <c r="B259" s="1">
        <v>45844.432638888888</v>
      </c>
      <c r="C259" t="s">
        <v>16</v>
      </c>
      <c r="D259">
        <v>0</v>
      </c>
      <c r="E259">
        <v>60</v>
      </c>
      <c r="F259">
        <v>40</v>
      </c>
      <c r="G259">
        <f t="shared" si="6"/>
        <v>25276</v>
      </c>
      <c r="H259">
        <f t="shared" si="7"/>
        <v>53646</v>
      </c>
    </row>
    <row r="260" spans="1:8" x14ac:dyDescent="0.25">
      <c r="A260" t="s">
        <v>296</v>
      </c>
      <c r="B260" s="1">
        <v>45844.380486111113</v>
      </c>
      <c r="C260" t="s">
        <v>44</v>
      </c>
      <c r="D260">
        <v>30</v>
      </c>
      <c r="E260">
        <v>0</v>
      </c>
      <c r="F260">
        <v>100</v>
      </c>
      <c r="G260">
        <f t="shared" si="6"/>
        <v>25276</v>
      </c>
      <c r="H260">
        <f t="shared" si="7"/>
        <v>53646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A41451-69AA-4CA7-A913-C3DF434667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Clean Data</vt:lpstr>
      <vt:lpstr>Pivot</vt:lpstr>
      <vt:lpstr>Dashboard</vt:lpstr>
      <vt:lpstr>Messy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BEN1</dc:creator>
  <cp:lastModifiedBy>Egertech</cp:lastModifiedBy>
  <dcterms:created xsi:type="dcterms:W3CDTF">2025-09-02T00:48:39Z</dcterms:created>
  <dcterms:modified xsi:type="dcterms:W3CDTF">2026-05-02T07:10:15Z</dcterms:modified>
</cp:coreProperties>
</file>