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1.xml" ContentType="application/vnd.openxmlformats-officedocument.spreadsheetml.tab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workbookPr hidePivotFieldList="1" defaultThemeVersion="124226"/>
  <mc:AlternateContent xmlns:mc="http://schemas.openxmlformats.org/markup-compatibility/2006">
    <mc:Choice Requires="x15">
      <x15ac:absPath xmlns:x15ac="http://schemas.microsoft.com/office/spreadsheetml/2010/11/ac" url="C:\Users\BEN1\Documents\"/>
    </mc:Choice>
  </mc:AlternateContent>
  <xr:revisionPtr revIDLastSave="0" documentId="13_ncr:1_{511EAF26-1A18-42FD-A0E9-189F60CAA0A8}" xr6:coauthVersionLast="47" xr6:coauthVersionMax="47" xr10:uidLastSave="{00000000-0000-0000-0000-000000000000}"/>
  <bookViews>
    <workbookView xWindow="-120" yWindow="-120" windowWidth="24240" windowHeight="13740" activeTab="2" xr2:uid="{00000000-000D-0000-FFFF-FFFF00000000}"/>
  </bookViews>
  <sheets>
    <sheet name="Dashboard (2)" sheetId="4" r:id="rId1"/>
    <sheet name="Pivot table" sheetId="2" r:id="rId2"/>
    <sheet name="Dashboard" sheetId="3" r:id="rId3"/>
    <sheet name="Data" sheetId="1" r:id="rId4"/>
  </sheets>
  <definedNames>
    <definedName name="Slicer_Month">#N/A</definedName>
    <definedName name="Slicer_Product">#N/A</definedName>
    <definedName name="Slicer_Region">#N/A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K2" i="1" l="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2" i="1"/>
</calcChain>
</file>

<file path=xl/sharedStrings.xml><?xml version="1.0" encoding="utf-8"?>
<sst xmlns="http://schemas.openxmlformats.org/spreadsheetml/2006/main" count="352" uniqueCount="44">
  <si>
    <t>Date</t>
  </si>
  <si>
    <t>Region</t>
  </si>
  <si>
    <t>Product</t>
  </si>
  <si>
    <t>Salesperson</t>
  </si>
  <si>
    <t>Units Sold</t>
  </si>
  <si>
    <t>Unit Price</t>
  </si>
  <si>
    <t>Total Sales</t>
  </si>
  <si>
    <t>Kisumu</t>
  </si>
  <si>
    <t>Eldoret</t>
  </si>
  <si>
    <t>Nairobi</t>
  </si>
  <si>
    <t>Mombasa</t>
  </si>
  <si>
    <t>Tablet</t>
  </si>
  <si>
    <t>Phone</t>
  </si>
  <si>
    <t>Monitor</t>
  </si>
  <si>
    <t>Laptop</t>
  </si>
  <si>
    <t>Clare</t>
  </si>
  <si>
    <t>David</t>
  </si>
  <si>
    <t>Alice</t>
  </si>
  <si>
    <t>Brian</t>
  </si>
  <si>
    <t>Row Labels</t>
  </si>
  <si>
    <t>Grand Total</t>
  </si>
  <si>
    <t>Sum of Units Sold</t>
  </si>
  <si>
    <t>Year</t>
  </si>
  <si>
    <t>Month</t>
  </si>
  <si>
    <t>Weekday</t>
  </si>
  <si>
    <t>Jan</t>
  </si>
  <si>
    <t>Feb</t>
  </si>
  <si>
    <t>Mar</t>
  </si>
  <si>
    <t>Count of Units Sold</t>
  </si>
  <si>
    <t>Region by units sold</t>
  </si>
  <si>
    <t>Sun</t>
  </si>
  <si>
    <t>Mon</t>
  </si>
  <si>
    <t>Tue</t>
  </si>
  <si>
    <t>Wed</t>
  </si>
  <si>
    <t>Thu</t>
  </si>
  <si>
    <t>Fri</t>
  </si>
  <si>
    <t>Sat</t>
  </si>
  <si>
    <t>Weekday by units sold</t>
  </si>
  <si>
    <t>Salesperson by Units sold</t>
  </si>
  <si>
    <t>Product by units sold</t>
  </si>
  <si>
    <t>Sum of Total sales</t>
  </si>
  <si>
    <t>Total sales = 52993482</t>
  </si>
  <si>
    <t xml:space="preserve">Total sales </t>
  </si>
  <si>
    <t>TOTAL SALES = 52993482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</si>
</sst>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Ksh&quot;* #,##0.00_-;\-&quot;Ksh&quot;* #,##0.00_-;_-&quot;Ksh&quot;* &quot;-&quot;??_-;_-@_-"/>
    <numFmt numFmtId="164" formatCode="yyyy\-mm\-dd\ hh:mm:ss"/>
    <numFmt numFmtId="165" formatCode="&quot;Ksh&quot;#,##0"/>
  </numFmts>
  <fonts count="5" x14ac:knownFonts="1">
    <font>
      <sz val="11"/>
      <color theme="1"/>
      <name val="Calibri"/>
      <family val="2"/>
      <scheme val="minor"/>
    </font>
    <font>
      <b/>
      <sz val="11"/>
      <color theme="1"/>
      <name val="Calibri"/>
      <family val="2"/>
      <scheme val="minor"/>
    </font>
    <font>
      <sz val="11"/>
      <color rgb="FFFF0000"/>
      <name val="Calibri"/>
      <family val="2"/>
      <scheme val="minor"/>
    </font>
    <font>
      <b/>
      <sz val="24"/>
      <color rgb="FF00B0F0"/>
      <name val="Calibri"/>
      <family val="2"/>
      <scheme val="minor"/>
    </font>
    <font>
      <sz val="8"/>
      <name val="Calibri"/>
      <family val="2"/>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11">
    <xf numFmtId="0" fontId="0" fillId="0" borderId="0" xfId="0"/>
    <xf numFmtId="0" fontId="1" fillId="0" borderId="1" xfId="0" applyFont="1" applyBorder="1" applyAlignment="1">
      <alignment horizontal="center" vertical="top"/>
    </xf>
    <xf numFmtId="164"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1" fillId="0" borderId="2" xfId="0" applyFont="1" applyFill="1" applyBorder="1" applyAlignment="1">
      <alignment horizontal="center" vertical="top"/>
    </xf>
    <xf numFmtId="0" fontId="2" fillId="0" borderId="0" xfId="0" applyFont="1"/>
    <xf numFmtId="44" fontId="0" fillId="0" borderId="0" xfId="0" applyNumberFormat="1"/>
    <xf numFmtId="0" fontId="3" fillId="0" borderId="0" xfId="0" applyFont="1"/>
    <xf numFmtId="165" fontId="0" fillId="0" borderId="0" xfId="0" applyNumberFormat="1"/>
  </cellXfs>
  <cellStyles count="1">
    <cellStyle name="Normal" xfId="0" builtinId="0"/>
  </cellStyles>
  <dxfs count="3">
    <dxf>
      <numFmt numFmtId="34" formatCode="_-&quot;Ksh&quot;* #,##0.00_-;\-&quot;Ksh&quot;* #,##0.00_-;_-&quot;Ksh&quot;* &quot;-&quot;??_-;_-@_-"/>
    </dxf>
    <dxf>
      <numFmt numFmtId="34" formatCode="_-&quot;Ksh&quot;* #,##0.00_-;\-&quot;Ksh&quot;* #,##0.00_-;_-&quot;Ksh&quot;* &quot;-&quot;??_-;_-@_-"/>
    </dxf>
    <dxf>
      <numFmt numFmtId="34" formatCode="_-&quot;Ksh&quot;* #,##0.00_-;\-&quot;Ksh&quot;* #,##0.00_-;_-&quot;Ksh&quot;* &quot;-&quot;??_-;_-@_-"/>
    </dxf>
  </dxfs>
  <tableStyles count="1" defaultTableStyle="TableStyleMedium9" defaultPivotStyle="PivotStyleLight16">
    <tableStyle name="Slicer Style 1" pivot="0" table="0" count="1" xr9:uid="{D4D73F14-61C0-4D56-B432-585CCA07EEA9}"/>
  </tableStyles>
  <extLst>
    <ext xmlns:x14="http://schemas.microsoft.com/office/spreadsheetml/2009/9/main" uri="{46F421CA-312F-682f-3DD2-61675219B42D}">
      <x14:dxfs count="1">
        <dxf>
          <border>
            <vertical/>
            <horizontal/>
          </border>
        </dxf>
      </x14:dxfs>
    </ext>
    <ext xmlns:x14="http://schemas.microsoft.com/office/spreadsheetml/2009/9/main" uri="{EB79DEF2-80B8-43e5-95BD-54CBDDF9020C}">
      <x14:slicerStyles defaultSlicerStyle="SlicerStyleLight1">
        <x14:slicerStyle name="Slicer Style 1">
          <x14:slicerStyleElements>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Test Sales Dashboard.xlsm]Pivot table!PivotTable6</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table'!$N$3</c:f>
              <c:strCache>
                <c:ptCount val="1"/>
                <c:pt idx="0">
                  <c:v>Total</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table'!$M$4:$M$8</c:f>
              <c:strCache>
                <c:ptCount val="4"/>
                <c:pt idx="0">
                  <c:v>Laptop</c:v>
                </c:pt>
                <c:pt idx="1">
                  <c:v>Monitor</c:v>
                </c:pt>
                <c:pt idx="2">
                  <c:v>Phone</c:v>
                </c:pt>
                <c:pt idx="3">
                  <c:v>Tablet</c:v>
                </c:pt>
              </c:strCache>
            </c:strRef>
          </c:cat>
          <c:val>
            <c:numRef>
              <c:f>'Pivot table'!$N$4:$N$8</c:f>
              <c:numCache>
                <c:formatCode>General</c:formatCode>
                <c:ptCount val="4"/>
                <c:pt idx="0">
                  <c:v>115</c:v>
                </c:pt>
                <c:pt idx="1">
                  <c:v>30</c:v>
                </c:pt>
                <c:pt idx="2">
                  <c:v>58</c:v>
                </c:pt>
                <c:pt idx="3">
                  <c:v>39</c:v>
                </c:pt>
              </c:numCache>
            </c:numRef>
          </c:val>
          <c:extLst>
            <c:ext xmlns:c16="http://schemas.microsoft.com/office/drawing/2014/chart" uri="{C3380CC4-5D6E-409C-BE32-E72D297353CC}">
              <c16:uniqueId val="{00000000-D582-4167-84AB-C075DD5CFE9F}"/>
            </c:ext>
          </c:extLst>
        </c:ser>
        <c:dLbls>
          <c:dLblPos val="outEnd"/>
          <c:showLegendKey val="0"/>
          <c:showVal val="1"/>
          <c:showCatName val="0"/>
          <c:showSerName val="0"/>
          <c:showPercent val="0"/>
          <c:showBubbleSize val="0"/>
        </c:dLbls>
        <c:gapWidth val="60"/>
        <c:overlap val="-27"/>
        <c:axId val="99409008"/>
        <c:axId val="99394032"/>
      </c:barChart>
      <c:catAx>
        <c:axId val="994090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99394032"/>
        <c:crosses val="autoZero"/>
        <c:auto val="1"/>
        <c:lblAlgn val="ctr"/>
        <c:lblOffset val="100"/>
        <c:noMultiLvlLbl val="0"/>
      </c:catAx>
      <c:valAx>
        <c:axId val="9939403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99409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Test Sales Dashboard.xlsm]Pivot table!PivotTable5</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pivotFmt>
      <c:pivotFmt>
        <c:idx val="3"/>
        <c:spPr>
          <a:solidFill>
            <a:schemeClr val="tx1">
              <a:lumMod val="50000"/>
              <a:lumOff val="50000"/>
            </a:schemeClr>
          </a:solidFill>
          <a:ln>
            <a:noFill/>
          </a:ln>
          <a:effectLst/>
        </c:spPr>
      </c:pivotFmt>
      <c:pivotFmt>
        <c:idx val="4"/>
        <c:spPr>
          <a:solidFill>
            <a:schemeClr val="accent1">
              <a:lumMod val="50000"/>
            </a:schemeClr>
          </a:solidFill>
          <a:ln>
            <a:solidFill>
              <a:schemeClr val="accent1">
                <a:lumMod val="60000"/>
                <a:lumOff val="40000"/>
              </a:schemeClr>
            </a:solidFill>
          </a:ln>
          <a:effectLst/>
        </c:spPr>
      </c:pivotFmt>
      <c:pivotFmt>
        <c:idx val="5"/>
        <c:spPr>
          <a:solidFill>
            <a:schemeClr val="accent2">
              <a:lumMod val="75000"/>
            </a:schemeClr>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00B0F0"/>
          </a:solidFill>
          <a:ln>
            <a:noFill/>
          </a:ln>
          <a:effectLst/>
        </c:spPr>
      </c:pivotFmt>
      <c:pivotFmt>
        <c:idx val="8"/>
        <c:spPr>
          <a:solidFill>
            <a:schemeClr val="accent2">
              <a:lumMod val="75000"/>
            </a:schemeClr>
          </a:solidFill>
          <a:ln>
            <a:noFill/>
          </a:ln>
          <a:effectLst/>
        </c:spPr>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00B0F0"/>
          </a:solidFill>
          <a:ln>
            <a:noFill/>
          </a:ln>
          <a:effectLst/>
        </c:spPr>
      </c:pivotFmt>
      <c:pivotFmt>
        <c:idx val="11"/>
        <c:spPr>
          <a:solidFill>
            <a:schemeClr val="accent2">
              <a:lumMod val="75000"/>
            </a:schemeClr>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s>
    <c:plotArea>
      <c:layout/>
      <c:doughnutChart>
        <c:varyColors val="1"/>
        <c:ser>
          <c:idx val="0"/>
          <c:order val="0"/>
          <c:tx>
            <c:strRef>
              <c:f>'Pivot table'!$K$3</c:f>
              <c:strCache>
                <c:ptCount val="1"/>
                <c:pt idx="0">
                  <c:v>Total</c:v>
                </c:pt>
              </c:strCache>
            </c:strRef>
          </c:tx>
          <c:dPt>
            <c:idx val="0"/>
            <c:bubble3D val="0"/>
            <c:spPr>
              <a:solidFill>
                <a:srgbClr val="00B0F0"/>
              </a:solidFill>
              <a:ln>
                <a:noFill/>
              </a:ln>
              <a:effectLst/>
            </c:spPr>
            <c:extLst>
              <c:ext xmlns:c16="http://schemas.microsoft.com/office/drawing/2014/chart" uri="{C3380CC4-5D6E-409C-BE32-E72D297353CC}">
                <c16:uniqueId val="{00000001-D2BC-492C-BDB5-5C4A092C4418}"/>
              </c:ext>
            </c:extLst>
          </c:dPt>
          <c:dPt>
            <c:idx val="1"/>
            <c:bubble3D val="0"/>
            <c:spPr>
              <a:solidFill>
                <a:schemeClr val="accent2">
                  <a:lumMod val="75000"/>
                </a:schemeClr>
              </a:solidFill>
              <a:ln>
                <a:noFill/>
              </a:ln>
              <a:effectLst/>
            </c:spPr>
            <c:extLst>
              <c:ext xmlns:c16="http://schemas.microsoft.com/office/drawing/2014/chart" uri="{C3380CC4-5D6E-409C-BE32-E72D297353CC}">
                <c16:uniqueId val="{00000003-D2BC-492C-BDB5-5C4A092C4418}"/>
              </c:ext>
            </c:extLst>
          </c:dPt>
          <c:dPt>
            <c:idx val="2"/>
            <c:bubble3D val="0"/>
            <c:spPr>
              <a:solidFill>
                <a:schemeClr val="accent3"/>
              </a:solidFill>
              <a:ln>
                <a:noFill/>
              </a:ln>
              <a:effectLst/>
            </c:spPr>
            <c:extLst>
              <c:ext xmlns:c16="http://schemas.microsoft.com/office/drawing/2014/chart" uri="{C3380CC4-5D6E-409C-BE32-E72D297353CC}">
                <c16:uniqueId val="{00000005-236C-431B-A5DA-9A97D267641E}"/>
              </c:ext>
            </c:extLst>
          </c:dPt>
          <c:dPt>
            <c:idx val="3"/>
            <c:bubble3D val="0"/>
            <c:spPr>
              <a:solidFill>
                <a:schemeClr val="accent4"/>
              </a:solidFill>
              <a:ln>
                <a:noFill/>
              </a:ln>
              <a:effectLst/>
            </c:spPr>
            <c:extLst>
              <c:ext xmlns:c16="http://schemas.microsoft.com/office/drawing/2014/chart" uri="{C3380CC4-5D6E-409C-BE32-E72D297353CC}">
                <c16:uniqueId val="{00000007-236C-431B-A5DA-9A97D267641E}"/>
              </c:ext>
            </c:extLst>
          </c:dPt>
          <c:cat>
            <c:strRef>
              <c:f>'Pivot table'!$J$4:$J$8</c:f>
              <c:strCache>
                <c:ptCount val="4"/>
                <c:pt idx="0">
                  <c:v>Alice</c:v>
                </c:pt>
                <c:pt idx="1">
                  <c:v>Brian</c:v>
                </c:pt>
                <c:pt idx="2">
                  <c:v>Clare</c:v>
                </c:pt>
                <c:pt idx="3">
                  <c:v>David</c:v>
                </c:pt>
              </c:strCache>
            </c:strRef>
          </c:cat>
          <c:val>
            <c:numRef>
              <c:f>'Pivot table'!$K$4:$K$8</c:f>
              <c:numCache>
                <c:formatCode>General</c:formatCode>
                <c:ptCount val="4"/>
                <c:pt idx="0">
                  <c:v>6</c:v>
                </c:pt>
                <c:pt idx="1">
                  <c:v>5</c:v>
                </c:pt>
                <c:pt idx="2">
                  <c:v>8</c:v>
                </c:pt>
                <c:pt idx="3">
                  <c:v>5</c:v>
                </c:pt>
              </c:numCache>
            </c:numRef>
          </c:val>
          <c:extLst>
            <c:ext xmlns:c16="http://schemas.microsoft.com/office/drawing/2014/chart" uri="{C3380CC4-5D6E-409C-BE32-E72D297353CC}">
              <c16:uniqueId val="{00000004-D2BC-492C-BDB5-5C4A092C4418}"/>
            </c:ext>
          </c:extLst>
        </c:ser>
        <c:dLbls>
          <c:showLegendKey val="0"/>
          <c:showVal val="0"/>
          <c:showCatName val="0"/>
          <c:showSerName val="0"/>
          <c:showPercent val="0"/>
          <c:showBubbleSize val="0"/>
          <c:showLeaderLines val="1"/>
        </c:dLbls>
        <c:firstSliceAng val="0"/>
        <c:holeSize val="40"/>
      </c:doughnutChart>
      <c:spPr>
        <a:noFill/>
        <a:ln>
          <a:noFill/>
        </a:ln>
        <a:effectLst/>
      </c:spPr>
    </c:plotArea>
    <c:legend>
      <c:legendPos val="r"/>
      <c:layout>
        <c:manualLayout>
          <c:xMode val="edge"/>
          <c:yMode val="edge"/>
          <c:x val="0.79968665455279642"/>
          <c:y val="0.61465255534988728"/>
          <c:w val="0.12851847365233193"/>
          <c:h val="0.3478284861522830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Test Sales Dashboard.xlsm]Pivot table!PivotTable4</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table'!$H$3</c:f>
              <c:strCache>
                <c:ptCount val="1"/>
                <c:pt idx="0">
                  <c:v>Total</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table'!$G$4:$G$11</c:f>
              <c:strCache>
                <c:ptCount val="7"/>
                <c:pt idx="0">
                  <c:v>Sun</c:v>
                </c:pt>
                <c:pt idx="1">
                  <c:v>Mon</c:v>
                </c:pt>
                <c:pt idx="2">
                  <c:v>Tue</c:v>
                </c:pt>
                <c:pt idx="3">
                  <c:v>Wed</c:v>
                </c:pt>
                <c:pt idx="4">
                  <c:v>Thu</c:v>
                </c:pt>
                <c:pt idx="5">
                  <c:v>Fri</c:v>
                </c:pt>
                <c:pt idx="6">
                  <c:v>Sat</c:v>
                </c:pt>
              </c:strCache>
            </c:strRef>
          </c:cat>
          <c:val>
            <c:numRef>
              <c:f>'Pivot table'!$H$4:$H$11</c:f>
              <c:numCache>
                <c:formatCode>General</c:formatCode>
                <c:ptCount val="7"/>
                <c:pt idx="0">
                  <c:v>38</c:v>
                </c:pt>
                <c:pt idx="1">
                  <c:v>52</c:v>
                </c:pt>
                <c:pt idx="2">
                  <c:v>13</c:v>
                </c:pt>
                <c:pt idx="3">
                  <c:v>20</c:v>
                </c:pt>
                <c:pt idx="4">
                  <c:v>75</c:v>
                </c:pt>
                <c:pt idx="5">
                  <c:v>4</c:v>
                </c:pt>
                <c:pt idx="6">
                  <c:v>40</c:v>
                </c:pt>
              </c:numCache>
            </c:numRef>
          </c:val>
          <c:extLst>
            <c:ext xmlns:c16="http://schemas.microsoft.com/office/drawing/2014/chart" uri="{C3380CC4-5D6E-409C-BE32-E72D297353CC}">
              <c16:uniqueId val="{00000000-8B1E-4AAF-9196-969D7D2536B7}"/>
            </c:ext>
          </c:extLst>
        </c:ser>
        <c:dLbls>
          <c:dLblPos val="outEnd"/>
          <c:showLegendKey val="0"/>
          <c:showVal val="1"/>
          <c:showCatName val="0"/>
          <c:showSerName val="0"/>
          <c:showPercent val="0"/>
          <c:showBubbleSize val="0"/>
        </c:dLbls>
        <c:gapWidth val="60"/>
        <c:overlap val="-27"/>
        <c:axId val="442963968"/>
        <c:axId val="442963552"/>
      </c:barChart>
      <c:catAx>
        <c:axId val="4429639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442963552"/>
        <c:crosses val="autoZero"/>
        <c:auto val="1"/>
        <c:lblAlgn val="ctr"/>
        <c:lblOffset val="100"/>
        <c:noMultiLvlLbl val="0"/>
      </c:catAx>
      <c:valAx>
        <c:axId val="44296355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442963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Test Sales Dashboard.xlsm]Pivot table!PivotTable3</c:name>
    <c:fmtId val="3"/>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7"/>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7"/>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table'!$E$3</c:f>
              <c:strCache>
                <c:ptCount val="1"/>
                <c:pt idx="0">
                  <c:v>Total</c:v>
                </c:pt>
              </c:strCache>
            </c:strRef>
          </c:tx>
          <c:spPr>
            <a:ln w="28575" cap="rnd">
              <a:solidFill>
                <a:schemeClr val="accent1"/>
              </a:solidFill>
              <a:round/>
            </a:ln>
            <a:effectLst/>
          </c:spPr>
          <c:marker>
            <c:symbol val="circle"/>
            <c:size val="7"/>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table'!$D$4:$D$7</c:f>
              <c:strCache>
                <c:ptCount val="3"/>
                <c:pt idx="0">
                  <c:v>Jan</c:v>
                </c:pt>
                <c:pt idx="1">
                  <c:v>Feb</c:v>
                </c:pt>
                <c:pt idx="2">
                  <c:v>Mar</c:v>
                </c:pt>
              </c:strCache>
            </c:strRef>
          </c:cat>
          <c:val>
            <c:numRef>
              <c:f>'Pivot table'!$E$4:$E$7</c:f>
              <c:numCache>
                <c:formatCode>General</c:formatCode>
                <c:ptCount val="3"/>
                <c:pt idx="0">
                  <c:v>72</c:v>
                </c:pt>
                <c:pt idx="1">
                  <c:v>84</c:v>
                </c:pt>
                <c:pt idx="2">
                  <c:v>86</c:v>
                </c:pt>
              </c:numCache>
            </c:numRef>
          </c:val>
          <c:smooth val="1"/>
          <c:extLst>
            <c:ext xmlns:c16="http://schemas.microsoft.com/office/drawing/2014/chart" uri="{C3380CC4-5D6E-409C-BE32-E72D297353CC}">
              <c16:uniqueId val="{00000000-144B-4D24-8710-7DC2FF93731F}"/>
            </c:ext>
          </c:extLst>
        </c:ser>
        <c:dLbls>
          <c:dLblPos val="t"/>
          <c:showLegendKey val="0"/>
          <c:showVal val="1"/>
          <c:showCatName val="0"/>
          <c:showSerName val="0"/>
          <c:showPercent val="0"/>
          <c:showBubbleSize val="0"/>
        </c:dLbls>
        <c:marker val="1"/>
        <c:smooth val="0"/>
        <c:axId val="510434800"/>
        <c:axId val="510431056"/>
      </c:lineChart>
      <c:catAx>
        <c:axId val="510434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510431056"/>
        <c:crosses val="autoZero"/>
        <c:auto val="1"/>
        <c:lblAlgn val="ctr"/>
        <c:lblOffset val="100"/>
        <c:noMultiLvlLbl val="0"/>
      </c:catAx>
      <c:valAx>
        <c:axId val="5104310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5104348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Test Sales Dashboard.xlsm]Pivot table!PivotTable1</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hade val="50000"/>
                <a:alpha val="36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w="19050">
            <a:solidFill>
              <a:schemeClr val="lt1">
                <a:shade val="50000"/>
                <a:alpha val="36000"/>
              </a:schemeClr>
            </a:solidFill>
          </a:ln>
          <a:effectLst/>
        </c:spPr>
      </c:pivotFmt>
      <c:pivotFmt>
        <c:idx val="3"/>
        <c:spPr>
          <a:solidFill>
            <a:schemeClr val="accent2">
              <a:lumMod val="75000"/>
            </a:schemeClr>
          </a:solidFill>
          <a:ln w="19050">
            <a:solidFill>
              <a:schemeClr val="lt1">
                <a:shade val="50000"/>
                <a:alpha val="36000"/>
              </a:schemeClr>
            </a:solidFill>
          </a:ln>
          <a:effectLst/>
        </c:spPr>
      </c:pivotFmt>
      <c:pivotFmt>
        <c:idx val="4"/>
        <c:spPr>
          <a:solidFill>
            <a:schemeClr val="accent1">
              <a:lumMod val="50000"/>
            </a:schemeClr>
          </a:solidFill>
          <a:ln w="19050">
            <a:solidFill>
              <a:schemeClr val="lt1">
                <a:shade val="50000"/>
                <a:alpha val="36000"/>
              </a:schemeClr>
            </a:solidFill>
          </a:ln>
          <a:effectLst/>
        </c:spPr>
      </c:pivotFmt>
      <c:pivotFmt>
        <c:idx val="5"/>
        <c:spPr>
          <a:solidFill>
            <a:schemeClr val="tx1">
              <a:lumMod val="50000"/>
              <a:lumOff val="50000"/>
            </a:schemeClr>
          </a:solidFill>
          <a:ln w="19050">
            <a:solidFill>
              <a:schemeClr val="lt1">
                <a:shade val="50000"/>
                <a:alpha val="36000"/>
              </a:schemeClr>
            </a:solidFill>
          </a:ln>
          <a:effectLst/>
        </c:spPr>
      </c:pivotFmt>
      <c:pivotFmt>
        <c:idx val="6"/>
        <c:spPr>
          <a:solidFill>
            <a:schemeClr val="accent1"/>
          </a:solidFill>
          <a:ln w="19050">
            <a:solidFill>
              <a:schemeClr val="lt1">
                <a:shade val="50000"/>
                <a:alpha val="36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lumMod val="50000"/>
            </a:schemeClr>
          </a:solidFill>
          <a:ln w="19050">
            <a:solidFill>
              <a:schemeClr val="lt1">
                <a:shade val="50000"/>
                <a:alpha val="36000"/>
              </a:schemeClr>
            </a:solidFill>
          </a:ln>
          <a:effectLst/>
        </c:spPr>
      </c:pivotFmt>
      <c:pivotFmt>
        <c:idx val="8"/>
        <c:spPr>
          <a:solidFill>
            <a:schemeClr val="accent1"/>
          </a:solidFill>
          <a:ln w="19050">
            <a:solidFill>
              <a:schemeClr val="lt1">
                <a:shade val="50000"/>
                <a:alpha val="36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lumMod val="50000"/>
            </a:schemeClr>
          </a:solidFill>
          <a:ln w="19050">
            <a:solidFill>
              <a:schemeClr val="lt1">
                <a:shade val="50000"/>
                <a:alpha val="36000"/>
              </a:schemeClr>
            </a:solidFill>
          </a:ln>
          <a:effectLst/>
        </c:spPr>
      </c:pivotFmt>
      <c:pivotFmt>
        <c:idx val="10"/>
        <c:spPr>
          <a:solidFill>
            <a:schemeClr val="accent1"/>
          </a:solidFill>
          <a:ln w="19050">
            <a:solidFill>
              <a:schemeClr val="lt1">
                <a:shade val="50000"/>
                <a:alpha val="36000"/>
              </a:schemeClr>
            </a:solidFill>
          </a:ln>
          <a:effectLst/>
        </c:spPr>
      </c:pivotFmt>
      <c:pivotFmt>
        <c:idx val="11"/>
        <c:spPr>
          <a:solidFill>
            <a:schemeClr val="accent1"/>
          </a:solidFill>
          <a:ln w="19050">
            <a:solidFill>
              <a:schemeClr val="lt1">
                <a:shade val="50000"/>
                <a:alpha val="36000"/>
              </a:schemeClr>
            </a:solidFill>
          </a:ln>
          <a:effectLst/>
        </c:spPr>
      </c:pivotFmt>
      <c:pivotFmt>
        <c:idx val="12"/>
        <c:spPr>
          <a:solidFill>
            <a:schemeClr val="accent1"/>
          </a:solidFill>
          <a:ln w="19050">
            <a:solidFill>
              <a:schemeClr val="lt1">
                <a:shade val="50000"/>
                <a:alpha val="36000"/>
              </a:schemeClr>
            </a:solidFill>
          </a:ln>
          <a:effectLst/>
        </c:spPr>
      </c:pivotFmt>
    </c:pivotFmts>
    <c:plotArea>
      <c:layout/>
      <c:pieChart>
        <c:varyColors val="1"/>
        <c:ser>
          <c:idx val="0"/>
          <c:order val="0"/>
          <c:tx>
            <c:strRef>
              <c:f>'Pivot table'!$B$3</c:f>
              <c:strCache>
                <c:ptCount val="1"/>
                <c:pt idx="0">
                  <c:v>Total</c:v>
                </c:pt>
              </c:strCache>
            </c:strRef>
          </c:tx>
          <c:spPr>
            <a:ln>
              <a:solidFill>
                <a:schemeClr val="lt1">
                  <a:shade val="50000"/>
                  <a:alpha val="36000"/>
                </a:schemeClr>
              </a:solidFill>
            </a:ln>
          </c:spPr>
          <c:dPt>
            <c:idx val="0"/>
            <c:bubble3D val="0"/>
            <c:spPr>
              <a:solidFill>
                <a:schemeClr val="accent1"/>
              </a:solidFill>
              <a:ln w="19050">
                <a:solidFill>
                  <a:schemeClr val="lt1">
                    <a:shade val="50000"/>
                    <a:alpha val="36000"/>
                  </a:schemeClr>
                </a:solidFill>
              </a:ln>
              <a:effectLst/>
            </c:spPr>
            <c:extLst>
              <c:ext xmlns:c16="http://schemas.microsoft.com/office/drawing/2014/chart" uri="{C3380CC4-5D6E-409C-BE32-E72D297353CC}">
                <c16:uniqueId val="{00000001-3938-4346-8E66-D9EE197A3D65}"/>
              </c:ext>
            </c:extLst>
          </c:dPt>
          <c:dPt>
            <c:idx val="1"/>
            <c:bubble3D val="0"/>
            <c:spPr>
              <a:solidFill>
                <a:schemeClr val="accent2"/>
              </a:solidFill>
              <a:ln w="19050">
                <a:solidFill>
                  <a:schemeClr val="lt1">
                    <a:shade val="50000"/>
                    <a:alpha val="36000"/>
                  </a:schemeClr>
                </a:solidFill>
              </a:ln>
              <a:effectLst/>
            </c:spPr>
            <c:extLst>
              <c:ext xmlns:c16="http://schemas.microsoft.com/office/drawing/2014/chart" uri="{C3380CC4-5D6E-409C-BE32-E72D297353CC}">
                <c16:uniqueId val="{00000003-32BD-4D69-B197-0589E4F830C0}"/>
              </c:ext>
            </c:extLst>
          </c:dPt>
          <c:dPt>
            <c:idx val="2"/>
            <c:bubble3D val="0"/>
            <c:spPr>
              <a:solidFill>
                <a:schemeClr val="accent3"/>
              </a:solidFill>
              <a:ln w="19050">
                <a:solidFill>
                  <a:schemeClr val="lt1">
                    <a:shade val="50000"/>
                    <a:alpha val="36000"/>
                  </a:schemeClr>
                </a:solidFill>
              </a:ln>
              <a:effectLst/>
            </c:spPr>
            <c:extLst>
              <c:ext xmlns:c16="http://schemas.microsoft.com/office/drawing/2014/chart" uri="{C3380CC4-5D6E-409C-BE32-E72D297353CC}">
                <c16:uniqueId val="{00000005-32BD-4D69-B197-0589E4F830C0}"/>
              </c:ext>
            </c:extLst>
          </c:dPt>
          <c:dPt>
            <c:idx val="3"/>
            <c:bubble3D val="0"/>
            <c:spPr>
              <a:solidFill>
                <a:schemeClr val="accent4"/>
              </a:solidFill>
              <a:ln w="19050">
                <a:solidFill>
                  <a:schemeClr val="lt1">
                    <a:shade val="50000"/>
                    <a:alpha val="36000"/>
                  </a:schemeClr>
                </a:solidFill>
              </a:ln>
              <a:effectLst/>
            </c:spPr>
            <c:extLst>
              <c:ext xmlns:c16="http://schemas.microsoft.com/office/drawing/2014/chart" uri="{C3380CC4-5D6E-409C-BE32-E72D297353CC}">
                <c16:uniqueId val="{00000007-32BD-4D69-B197-0589E4F830C0}"/>
              </c:ext>
            </c:extLst>
          </c:dPt>
          <c:cat>
            <c:strRef>
              <c:f>'Pivot table'!$A$4:$A$5</c:f>
              <c:strCache>
                <c:ptCount val="1"/>
                <c:pt idx="0">
                  <c:v>Kisumu</c:v>
                </c:pt>
              </c:strCache>
            </c:strRef>
          </c:cat>
          <c:val>
            <c:numRef>
              <c:f>'Pivot table'!$B$4:$B$5</c:f>
              <c:numCache>
                <c:formatCode>General</c:formatCode>
                <c:ptCount val="1"/>
                <c:pt idx="0">
                  <c:v>24</c:v>
                </c:pt>
              </c:numCache>
            </c:numRef>
          </c:val>
          <c:extLst>
            <c:ext xmlns:c16="http://schemas.microsoft.com/office/drawing/2014/chart" uri="{C3380CC4-5D6E-409C-BE32-E72D297353CC}">
              <c16:uniqueId val="{00000002-3938-4346-8E66-D9EE197A3D65}"/>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7077446970804242"/>
          <c:y val="0.58843387433713645"/>
          <c:w val="0.21255390077894007"/>
          <c:h val="9.8410412984091269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K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Test Sales Dashboard.xlsm]Pivot table!PivotTable6</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table'!$N$3</c:f>
              <c:strCache>
                <c:ptCount val="1"/>
                <c:pt idx="0">
                  <c:v>Total</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table'!$M$4:$M$8</c:f>
              <c:strCache>
                <c:ptCount val="4"/>
                <c:pt idx="0">
                  <c:v>Laptop</c:v>
                </c:pt>
                <c:pt idx="1">
                  <c:v>Monitor</c:v>
                </c:pt>
                <c:pt idx="2">
                  <c:v>Phone</c:v>
                </c:pt>
                <c:pt idx="3">
                  <c:v>Tablet</c:v>
                </c:pt>
              </c:strCache>
            </c:strRef>
          </c:cat>
          <c:val>
            <c:numRef>
              <c:f>'Pivot table'!$N$4:$N$8</c:f>
              <c:numCache>
                <c:formatCode>General</c:formatCode>
                <c:ptCount val="4"/>
                <c:pt idx="0">
                  <c:v>115</c:v>
                </c:pt>
                <c:pt idx="1">
                  <c:v>30</c:v>
                </c:pt>
                <c:pt idx="2">
                  <c:v>58</c:v>
                </c:pt>
                <c:pt idx="3">
                  <c:v>39</c:v>
                </c:pt>
              </c:numCache>
            </c:numRef>
          </c:val>
          <c:extLst>
            <c:ext xmlns:c16="http://schemas.microsoft.com/office/drawing/2014/chart" uri="{C3380CC4-5D6E-409C-BE32-E72D297353CC}">
              <c16:uniqueId val="{00000000-58EA-4605-A95B-67B2B65C8EF5}"/>
            </c:ext>
          </c:extLst>
        </c:ser>
        <c:dLbls>
          <c:dLblPos val="outEnd"/>
          <c:showLegendKey val="0"/>
          <c:showVal val="1"/>
          <c:showCatName val="0"/>
          <c:showSerName val="0"/>
          <c:showPercent val="0"/>
          <c:showBubbleSize val="0"/>
        </c:dLbls>
        <c:gapWidth val="60"/>
        <c:overlap val="-27"/>
        <c:axId val="99409008"/>
        <c:axId val="99394032"/>
      </c:barChart>
      <c:catAx>
        <c:axId val="994090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99394032"/>
        <c:crosses val="autoZero"/>
        <c:auto val="1"/>
        <c:lblAlgn val="ctr"/>
        <c:lblOffset val="100"/>
        <c:noMultiLvlLbl val="0"/>
      </c:catAx>
      <c:valAx>
        <c:axId val="9939403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99409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Test Sales Dashboard.xlsm]Pivot table!PivotTable5</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pivotFmt>
      <c:pivotFmt>
        <c:idx val="3"/>
        <c:spPr>
          <a:solidFill>
            <a:schemeClr val="tx1">
              <a:lumMod val="50000"/>
              <a:lumOff val="50000"/>
            </a:schemeClr>
          </a:solidFill>
          <a:ln>
            <a:noFill/>
          </a:ln>
          <a:effectLst/>
        </c:spPr>
      </c:pivotFmt>
      <c:pivotFmt>
        <c:idx val="4"/>
        <c:spPr>
          <a:solidFill>
            <a:schemeClr val="accent1">
              <a:lumMod val="50000"/>
            </a:schemeClr>
          </a:solidFill>
          <a:ln>
            <a:solidFill>
              <a:schemeClr val="accent1">
                <a:lumMod val="60000"/>
                <a:lumOff val="40000"/>
              </a:schemeClr>
            </a:solidFill>
          </a:ln>
          <a:effectLst/>
        </c:spPr>
      </c:pivotFmt>
      <c:pivotFmt>
        <c:idx val="5"/>
        <c:spPr>
          <a:solidFill>
            <a:schemeClr val="accent2">
              <a:lumMod val="75000"/>
            </a:schemeClr>
          </a:solidFill>
          <a:ln>
            <a:noFill/>
          </a:ln>
          <a:effectLst/>
        </c:spPr>
      </c:pivotFmt>
    </c:pivotFmts>
    <c:plotArea>
      <c:layout/>
      <c:doughnutChart>
        <c:varyColors val="1"/>
        <c:ser>
          <c:idx val="0"/>
          <c:order val="0"/>
          <c:tx>
            <c:strRef>
              <c:f>'Pivot table'!$K$3</c:f>
              <c:strCache>
                <c:ptCount val="1"/>
                <c:pt idx="0">
                  <c:v>Total</c:v>
                </c:pt>
              </c:strCache>
            </c:strRef>
          </c:tx>
          <c:dPt>
            <c:idx val="0"/>
            <c:bubble3D val="0"/>
            <c:spPr>
              <a:solidFill>
                <a:srgbClr val="00B0F0"/>
              </a:solidFill>
              <a:ln>
                <a:noFill/>
              </a:ln>
              <a:effectLst/>
            </c:spPr>
            <c:extLst>
              <c:ext xmlns:c16="http://schemas.microsoft.com/office/drawing/2014/chart" uri="{C3380CC4-5D6E-409C-BE32-E72D297353CC}">
                <c16:uniqueId val="{00000002-A903-4D00-8459-4D3B6D984CF3}"/>
              </c:ext>
            </c:extLst>
          </c:dPt>
          <c:dPt>
            <c:idx val="1"/>
            <c:bubble3D val="0"/>
            <c:spPr>
              <a:solidFill>
                <a:schemeClr val="accent2">
                  <a:lumMod val="75000"/>
                </a:schemeClr>
              </a:solidFill>
              <a:ln>
                <a:noFill/>
              </a:ln>
              <a:effectLst/>
            </c:spPr>
            <c:extLst>
              <c:ext xmlns:c16="http://schemas.microsoft.com/office/drawing/2014/chart" uri="{C3380CC4-5D6E-409C-BE32-E72D297353CC}">
                <c16:uniqueId val="{00000005-A903-4D00-8459-4D3B6D984CF3}"/>
              </c:ext>
            </c:extLst>
          </c:dPt>
          <c:dPt>
            <c:idx val="2"/>
            <c:bubble3D val="0"/>
            <c:spPr>
              <a:solidFill>
                <a:schemeClr val="accent1">
                  <a:lumMod val="50000"/>
                </a:schemeClr>
              </a:solidFill>
              <a:ln>
                <a:solidFill>
                  <a:schemeClr val="accent1">
                    <a:lumMod val="60000"/>
                    <a:lumOff val="40000"/>
                  </a:schemeClr>
                </a:solidFill>
              </a:ln>
              <a:effectLst/>
            </c:spPr>
            <c:extLst>
              <c:ext xmlns:c16="http://schemas.microsoft.com/office/drawing/2014/chart" uri="{C3380CC4-5D6E-409C-BE32-E72D297353CC}">
                <c16:uniqueId val="{00000004-A903-4D00-8459-4D3B6D984CF3}"/>
              </c:ext>
            </c:extLst>
          </c:dPt>
          <c:dPt>
            <c:idx val="3"/>
            <c:bubble3D val="0"/>
            <c:spPr>
              <a:solidFill>
                <a:schemeClr val="tx1">
                  <a:lumMod val="50000"/>
                  <a:lumOff val="50000"/>
                </a:schemeClr>
              </a:solidFill>
              <a:ln>
                <a:noFill/>
              </a:ln>
              <a:effectLst/>
            </c:spPr>
            <c:extLst>
              <c:ext xmlns:c16="http://schemas.microsoft.com/office/drawing/2014/chart" uri="{C3380CC4-5D6E-409C-BE32-E72D297353CC}">
                <c16:uniqueId val="{00000003-A903-4D00-8459-4D3B6D984CF3}"/>
              </c:ext>
            </c:extLst>
          </c:dPt>
          <c:cat>
            <c:strRef>
              <c:f>'Pivot table'!$J$4:$J$8</c:f>
              <c:strCache>
                <c:ptCount val="4"/>
                <c:pt idx="0">
                  <c:v>Alice</c:v>
                </c:pt>
                <c:pt idx="1">
                  <c:v>Brian</c:v>
                </c:pt>
                <c:pt idx="2">
                  <c:v>Clare</c:v>
                </c:pt>
                <c:pt idx="3">
                  <c:v>David</c:v>
                </c:pt>
              </c:strCache>
            </c:strRef>
          </c:cat>
          <c:val>
            <c:numRef>
              <c:f>'Pivot table'!$K$4:$K$8</c:f>
              <c:numCache>
                <c:formatCode>General</c:formatCode>
                <c:ptCount val="4"/>
                <c:pt idx="0">
                  <c:v>6</c:v>
                </c:pt>
                <c:pt idx="1">
                  <c:v>5</c:v>
                </c:pt>
                <c:pt idx="2">
                  <c:v>8</c:v>
                </c:pt>
                <c:pt idx="3">
                  <c:v>5</c:v>
                </c:pt>
              </c:numCache>
            </c:numRef>
          </c:val>
          <c:extLst>
            <c:ext xmlns:c16="http://schemas.microsoft.com/office/drawing/2014/chart" uri="{C3380CC4-5D6E-409C-BE32-E72D297353CC}">
              <c16:uniqueId val="{00000000-A903-4D00-8459-4D3B6D984CF3}"/>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79968665455279642"/>
          <c:y val="0.61465255534988728"/>
          <c:w val="0.12851847365233193"/>
          <c:h val="0.3478284861522830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Test Sales Dashboard.xlsm]Pivot table!PivotTable4</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table'!$H$3</c:f>
              <c:strCache>
                <c:ptCount val="1"/>
                <c:pt idx="0">
                  <c:v>Total</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table'!$G$4:$G$11</c:f>
              <c:strCache>
                <c:ptCount val="7"/>
                <c:pt idx="0">
                  <c:v>Sun</c:v>
                </c:pt>
                <c:pt idx="1">
                  <c:v>Mon</c:v>
                </c:pt>
                <c:pt idx="2">
                  <c:v>Tue</c:v>
                </c:pt>
                <c:pt idx="3">
                  <c:v>Wed</c:v>
                </c:pt>
                <c:pt idx="4">
                  <c:v>Thu</c:v>
                </c:pt>
                <c:pt idx="5">
                  <c:v>Fri</c:v>
                </c:pt>
                <c:pt idx="6">
                  <c:v>Sat</c:v>
                </c:pt>
              </c:strCache>
            </c:strRef>
          </c:cat>
          <c:val>
            <c:numRef>
              <c:f>'Pivot table'!$H$4:$H$11</c:f>
              <c:numCache>
                <c:formatCode>General</c:formatCode>
                <c:ptCount val="7"/>
                <c:pt idx="0">
                  <c:v>38</c:v>
                </c:pt>
                <c:pt idx="1">
                  <c:v>52</c:v>
                </c:pt>
                <c:pt idx="2">
                  <c:v>13</c:v>
                </c:pt>
                <c:pt idx="3">
                  <c:v>20</c:v>
                </c:pt>
                <c:pt idx="4">
                  <c:v>75</c:v>
                </c:pt>
                <c:pt idx="5">
                  <c:v>4</c:v>
                </c:pt>
                <c:pt idx="6">
                  <c:v>40</c:v>
                </c:pt>
              </c:numCache>
            </c:numRef>
          </c:val>
          <c:extLst>
            <c:ext xmlns:c16="http://schemas.microsoft.com/office/drawing/2014/chart" uri="{C3380CC4-5D6E-409C-BE32-E72D297353CC}">
              <c16:uniqueId val="{00000002-0367-4B28-A10C-4DBF362E1CDA}"/>
            </c:ext>
          </c:extLst>
        </c:ser>
        <c:dLbls>
          <c:dLblPos val="outEnd"/>
          <c:showLegendKey val="0"/>
          <c:showVal val="1"/>
          <c:showCatName val="0"/>
          <c:showSerName val="0"/>
          <c:showPercent val="0"/>
          <c:showBubbleSize val="0"/>
        </c:dLbls>
        <c:gapWidth val="60"/>
        <c:overlap val="-27"/>
        <c:axId val="442963968"/>
        <c:axId val="442963552"/>
      </c:barChart>
      <c:catAx>
        <c:axId val="4429639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442963552"/>
        <c:crosses val="autoZero"/>
        <c:auto val="1"/>
        <c:lblAlgn val="ctr"/>
        <c:lblOffset val="100"/>
        <c:noMultiLvlLbl val="0"/>
      </c:catAx>
      <c:valAx>
        <c:axId val="44296355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442963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Test Sales Dashboard.xlsm]Pivot table!PivotTable3</c:name>
    <c:fmtId val="1"/>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7"/>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table'!$E$3</c:f>
              <c:strCache>
                <c:ptCount val="1"/>
                <c:pt idx="0">
                  <c:v>Total</c:v>
                </c:pt>
              </c:strCache>
            </c:strRef>
          </c:tx>
          <c:spPr>
            <a:ln w="28575" cap="rnd">
              <a:solidFill>
                <a:schemeClr val="accent1"/>
              </a:solidFill>
              <a:round/>
            </a:ln>
            <a:effectLst/>
          </c:spPr>
          <c:marker>
            <c:symbol val="circle"/>
            <c:size val="7"/>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table'!$D$4:$D$7</c:f>
              <c:strCache>
                <c:ptCount val="3"/>
                <c:pt idx="0">
                  <c:v>Jan</c:v>
                </c:pt>
                <c:pt idx="1">
                  <c:v>Feb</c:v>
                </c:pt>
                <c:pt idx="2">
                  <c:v>Mar</c:v>
                </c:pt>
              </c:strCache>
            </c:strRef>
          </c:cat>
          <c:val>
            <c:numRef>
              <c:f>'Pivot table'!$E$4:$E$7</c:f>
              <c:numCache>
                <c:formatCode>General</c:formatCode>
                <c:ptCount val="3"/>
                <c:pt idx="0">
                  <c:v>72</c:v>
                </c:pt>
                <c:pt idx="1">
                  <c:v>84</c:v>
                </c:pt>
                <c:pt idx="2">
                  <c:v>86</c:v>
                </c:pt>
              </c:numCache>
            </c:numRef>
          </c:val>
          <c:smooth val="1"/>
          <c:extLst>
            <c:ext xmlns:c16="http://schemas.microsoft.com/office/drawing/2014/chart" uri="{C3380CC4-5D6E-409C-BE32-E72D297353CC}">
              <c16:uniqueId val="{00000000-46A0-4E3B-856D-C813209E417D}"/>
            </c:ext>
          </c:extLst>
        </c:ser>
        <c:dLbls>
          <c:dLblPos val="t"/>
          <c:showLegendKey val="0"/>
          <c:showVal val="1"/>
          <c:showCatName val="0"/>
          <c:showSerName val="0"/>
          <c:showPercent val="0"/>
          <c:showBubbleSize val="0"/>
        </c:dLbls>
        <c:marker val="1"/>
        <c:smooth val="0"/>
        <c:axId val="510434800"/>
        <c:axId val="510431056"/>
      </c:lineChart>
      <c:catAx>
        <c:axId val="510434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510431056"/>
        <c:crosses val="autoZero"/>
        <c:auto val="1"/>
        <c:lblAlgn val="ctr"/>
        <c:lblOffset val="100"/>
        <c:noMultiLvlLbl val="0"/>
      </c:catAx>
      <c:valAx>
        <c:axId val="5104310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5104348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Test Sales Dashboard.xlsm]Pivot table!PivotTable1</c:name>
    <c:fmtId val="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hade val="50000"/>
                <a:alpha val="36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w="19050">
            <a:solidFill>
              <a:schemeClr val="lt1">
                <a:shade val="50000"/>
                <a:alpha val="36000"/>
              </a:schemeClr>
            </a:solidFill>
          </a:ln>
          <a:effectLst/>
        </c:spPr>
      </c:pivotFmt>
      <c:pivotFmt>
        <c:idx val="3"/>
        <c:spPr>
          <a:solidFill>
            <a:schemeClr val="accent2">
              <a:lumMod val="75000"/>
            </a:schemeClr>
          </a:solidFill>
          <a:ln w="19050">
            <a:solidFill>
              <a:schemeClr val="lt1">
                <a:shade val="50000"/>
                <a:alpha val="36000"/>
              </a:schemeClr>
            </a:solidFill>
          </a:ln>
          <a:effectLst/>
        </c:spPr>
      </c:pivotFmt>
      <c:pivotFmt>
        <c:idx val="4"/>
        <c:spPr>
          <a:solidFill>
            <a:schemeClr val="accent1">
              <a:lumMod val="50000"/>
            </a:schemeClr>
          </a:solidFill>
          <a:ln w="19050">
            <a:solidFill>
              <a:schemeClr val="lt1">
                <a:shade val="50000"/>
                <a:alpha val="36000"/>
              </a:schemeClr>
            </a:solidFill>
          </a:ln>
          <a:effectLst/>
        </c:spPr>
      </c:pivotFmt>
      <c:pivotFmt>
        <c:idx val="5"/>
        <c:spPr>
          <a:solidFill>
            <a:schemeClr val="tx1">
              <a:lumMod val="50000"/>
              <a:lumOff val="50000"/>
            </a:schemeClr>
          </a:solidFill>
          <a:ln w="19050">
            <a:solidFill>
              <a:schemeClr val="lt1">
                <a:shade val="50000"/>
                <a:alpha val="36000"/>
              </a:schemeClr>
            </a:solidFill>
          </a:ln>
          <a:effectLst/>
        </c:spPr>
      </c:pivotFmt>
    </c:pivotFmts>
    <c:plotArea>
      <c:layout/>
      <c:pieChart>
        <c:varyColors val="1"/>
        <c:ser>
          <c:idx val="0"/>
          <c:order val="0"/>
          <c:tx>
            <c:strRef>
              <c:f>'Pivot table'!$B$3</c:f>
              <c:strCache>
                <c:ptCount val="1"/>
                <c:pt idx="0">
                  <c:v>Total</c:v>
                </c:pt>
              </c:strCache>
            </c:strRef>
          </c:tx>
          <c:spPr>
            <a:ln>
              <a:solidFill>
                <a:schemeClr val="lt1">
                  <a:shade val="50000"/>
                  <a:alpha val="36000"/>
                </a:schemeClr>
              </a:solidFill>
            </a:ln>
          </c:spPr>
          <c:dPt>
            <c:idx val="0"/>
            <c:bubble3D val="0"/>
            <c:spPr>
              <a:solidFill>
                <a:schemeClr val="accent2">
                  <a:lumMod val="75000"/>
                </a:schemeClr>
              </a:solidFill>
              <a:ln w="19050">
                <a:solidFill>
                  <a:schemeClr val="lt1">
                    <a:shade val="50000"/>
                    <a:alpha val="36000"/>
                  </a:schemeClr>
                </a:solidFill>
              </a:ln>
              <a:effectLst/>
            </c:spPr>
            <c:extLst>
              <c:ext xmlns:c16="http://schemas.microsoft.com/office/drawing/2014/chart" uri="{C3380CC4-5D6E-409C-BE32-E72D297353CC}">
                <c16:uniqueId val="{00000001-2EF3-4F59-AE6A-F2FF72E8C576}"/>
              </c:ext>
            </c:extLst>
          </c:dPt>
          <c:dPt>
            <c:idx val="1"/>
            <c:bubble3D val="0"/>
            <c:spPr>
              <a:solidFill>
                <a:schemeClr val="accent2"/>
              </a:solidFill>
              <a:ln w="19050">
                <a:solidFill>
                  <a:schemeClr val="lt1">
                    <a:shade val="50000"/>
                    <a:alpha val="36000"/>
                  </a:schemeClr>
                </a:solidFill>
              </a:ln>
              <a:effectLst/>
            </c:spPr>
            <c:extLst>
              <c:ext xmlns:c16="http://schemas.microsoft.com/office/drawing/2014/chart" uri="{C3380CC4-5D6E-409C-BE32-E72D297353CC}">
                <c16:uniqueId val="{00000003-2EF3-4F59-AE6A-F2FF72E8C576}"/>
              </c:ext>
            </c:extLst>
          </c:dPt>
          <c:dPt>
            <c:idx val="2"/>
            <c:bubble3D val="0"/>
            <c:spPr>
              <a:solidFill>
                <a:schemeClr val="accent3"/>
              </a:solidFill>
              <a:ln w="19050">
                <a:solidFill>
                  <a:schemeClr val="lt1">
                    <a:shade val="50000"/>
                    <a:alpha val="36000"/>
                  </a:schemeClr>
                </a:solidFill>
              </a:ln>
              <a:effectLst/>
            </c:spPr>
            <c:extLst>
              <c:ext xmlns:c16="http://schemas.microsoft.com/office/drawing/2014/chart" uri="{C3380CC4-5D6E-409C-BE32-E72D297353CC}">
                <c16:uniqueId val="{00000005-2EF3-4F59-AE6A-F2FF72E8C576}"/>
              </c:ext>
            </c:extLst>
          </c:dPt>
          <c:dPt>
            <c:idx val="3"/>
            <c:bubble3D val="0"/>
            <c:spPr>
              <a:solidFill>
                <a:schemeClr val="accent4"/>
              </a:solidFill>
              <a:ln w="19050">
                <a:solidFill>
                  <a:schemeClr val="lt1">
                    <a:shade val="50000"/>
                    <a:alpha val="36000"/>
                  </a:schemeClr>
                </a:solidFill>
              </a:ln>
              <a:effectLst/>
            </c:spPr>
            <c:extLst>
              <c:ext xmlns:c16="http://schemas.microsoft.com/office/drawing/2014/chart" uri="{C3380CC4-5D6E-409C-BE32-E72D297353CC}">
                <c16:uniqueId val="{00000007-2EF3-4F59-AE6A-F2FF72E8C576}"/>
              </c:ext>
            </c:extLst>
          </c:dPt>
          <c:cat>
            <c:strRef>
              <c:f>'Pivot table'!$A$4:$A$5</c:f>
              <c:strCache>
                <c:ptCount val="1"/>
                <c:pt idx="0">
                  <c:v>Kisumu</c:v>
                </c:pt>
              </c:strCache>
            </c:strRef>
          </c:cat>
          <c:val>
            <c:numRef>
              <c:f>'Pivot table'!$B$4:$B$5</c:f>
              <c:numCache>
                <c:formatCode>General</c:formatCode>
                <c:ptCount val="1"/>
                <c:pt idx="0">
                  <c:v>24</c:v>
                </c:pt>
              </c:numCache>
            </c:numRef>
          </c:val>
          <c:extLst>
            <c:ext xmlns:c16="http://schemas.microsoft.com/office/drawing/2014/chart" uri="{C3380CC4-5D6E-409C-BE32-E72D297353CC}">
              <c16:uniqueId val="{00000008-2EF3-4F59-AE6A-F2FF72E8C57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7077446970804242"/>
          <c:y val="0.58843387433713645"/>
          <c:w val="0.21255390077894007"/>
          <c:h val="9.8410412984091269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K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597694</xdr:colOff>
      <xdr:row>37</xdr:row>
      <xdr:rowOff>47625</xdr:rowOff>
    </xdr:to>
    <xdr:sp macro="" textlink="">
      <xdr:nvSpPr>
        <xdr:cNvPr id="2" name="Rectangle 1">
          <a:extLst>
            <a:ext uri="{FF2B5EF4-FFF2-40B4-BE49-F238E27FC236}">
              <a16:creationId xmlns:a16="http://schemas.microsoft.com/office/drawing/2014/main" id="{77293BF2-C5D4-4EA4-A782-1D06BE89867F}"/>
            </a:ext>
          </a:extLst>
        </xdr:cNvPr>
        <xdr:cNvSpPr/>
      </xdr:nvSpPr>
      <xdr:spPr>
        <a:xfrm>
          <a:off x="0" y="0"/>
          <a:ext cx="12789694" cy="7096125"/>
        </a:xfrm>
        <a:prstGeom prst="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0</xdr:col>
      <xdr:colOff>71436</xdr:colOff>
      <xdr:row>0</xdr:row>
      <xdr:rowOff>107157</xdr:rowOff>
    </xdr:from>
    <xdr:to>
      <xdr:col>3</xdr:col>
      <xdr:colOff>202405</xdr:colOff>
      <xdr:row>12</xdr:row>
      <xdr:rowOff>23813</xdr:rowOff>
    </xdr:to>
    <xdr:sp macro="" textlink="">
      <xdr:nvSpPr>
        <xdr:cNvPr id="3" name="Rectangle: Rounded Corners 2">
          <a:extLst>
            <a:ext uri="{FF2B5EF4-FFF2-40B4-BE49-F238E27FC236}">
              <a16:creationId xmlns:a16="http://schemas.microsoft.com/office/drawing/2014/main" id="{0AA9BF89-9724-4BDF-A9B2-D1D4924214A0}"/>
            </a:ext>
          </a:extLst>
        </xdr:cNvPr>
        <xdr:cNvSpPr/>
      </xdr:nvSpPr>
      <xdr:spPr>
        <a:xfrm>
          <a:off x="71436" y="107157"/>
          <a:ext cx="1959769" cy="2202656"/>
        </a:xfrm>
        <a:prstGeom prst="roundRect">
          <a:avLst>
            <a:gd name="adj" fmla="val 3459"/>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0</xdr:col>
      <xdr:colOff>80960</xdr:colOff>
      <xdr:row>12</xdr:row>
      <xdr:rowOff>107156</xdr:rowOff>
    </xdr:from>
    <xdr:to>
      <xdr:col>3</xdr:col>
      <xdr:colOff>178593</xdr:colOff>
      <xdr:row>24</xdr:row>
      <xdr:rowOff>35718</xdr:rowOff>
    </xdr:to>
    <xdr:sp macro="" textlink="">
      <xdr:nvSpPr>
        <xdr:cNvPr id="4" name="Rectangle: Rounded Corners 3">
          <a:extLst>
            <a:ext uri="{FF2B5EF4-FFF2-40B4-BE49-F238E27FC236}">
              <a16:creationId xmlns:a16="http://schemas.microsoft.com/office/drawing/2014/main" id="{CE9CD871-6286-4B5C-AC61-2B23DBD31342}"/>
            </a:ext>
          </a:extLst>
        </xdr:cNvPr>
        <xdr:cNvSpPr/>
      </xdr:nvSpPr>
      <xdr:spPr>
        <a:xfrm>
          <a:off x="80960" y="2393156"/>
          <a:ext cx="1926433" cy="2214562"/>
        </a:xfrm>
        <a:prstGeom prst="roundRect">
          <a:avLst>
            <a:gd name="adj" fmla="val 4717"/>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0</xdr:col>
      <xdr:colOff>80960</xdr:colOff>
      <xdr:row>24</xdr:row>
      <xdr:rowOff>69055</xdr:rowOff>
    </xdr:from>
    <xdr:to>
      <xdr:col>3</xdr:col>
      <xdr:colOff>166687</xdr:colOff>
      <xdr:row>36</xdr:row>
      <xdr:rowOff>178594</xdr:rowOff>
    </xdr:to>
    <xdr:sp macro="" textlink="">
      <xdr:nvSpPr>
        <xdr:cNvPr id="5" name="Rectangle: Rounded Corners 4">
          <a:extLst>
            <a:ext uri="{FF2B5EF4-FFF2-40B4-BE49-F238E27FC236}">
              <a16:creationId xmlns:a16="http://schemas.microsoft.com/office/drawing/2014/main" id="{6ED6B962-B33F-4A90-9DDE-8C1EA21E74D7}"/>
            </a:ext>
          </a:extLst>
        </xdr:cNvPr>
        <xdr:cNvSpPr/>
      </xdr:nvSpPr>
      <xdr:spPr>
        <a:xfrm>
          <a:off x="80960" y="4641055"/>
          <a:ext cx="1914527" cy="2395539"/>
        </a:xfrm>
        <a:prstGeom prst="roundRect">
          <a:avLst>
            <a:gd name="adj" fmla="val 5975"/>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3</xdr:col>
      <xdr:colOff>211930</xdr:colOff>
      <xdr:row>0</xdr:row>
      <xdr:rowOff>80963</xdr:rowOff>
    </xdr:from>
    <xdr:to>
      <xdr:col>20</xdr:col>
      <xdr:colOff>535780</xdr:colOff>
      <xdr:row>5</xdr:row>
      <xdr:rowOff>190499</xdr:rowOff>
    </xdr:to>
    <xdr:sp macro="" textlink="">
      <xdr:nvSpPr>
        <xdr:cNvPr id="6" name="Rectangle: Rounded Corners 5">
          <a:extLst>
            <a:ext uri="{FF2B5EF4-FFF2-40B4-BE49-F238E27FC236}">
              <a16:creationId xmlns:a16="http://schemas.microsoft.com/office/drawing/2014/main" id="{D95AA4C2-AA36-4B66-ADC1-A43EEE54790B}"/>
            </a:ext>
          </a:extLst>
        </xdr:cNvPr>
        <xdr:cNvSpPr/>
      </xdr:nvSpPr>
      <xdr:spPr>
        <a:xfrm>
          <a:off x="2040730" y="80963"/>
          <a:ext cx="10687050" cy="1062036"/>
        </a:xfrm>
        <a:prstGeom prst="roundRect">
          <a:avLst>
            <a:gd name="adj" fmla="val 16912"/>
          </a:avLst>
        </a:prstGeom>
        <a:solidFill>
          <a:schemeClr val="bg2"/>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3</xdr:col>
      <xdr:colOff>269079</xdr:colOff>
      <xdr:row>6</xdr:row>
      <xdr:rowOff>59531</xdr:rowOff>
    </xdr:from>
    <xdr:to>
      <xdr:col>8</xdr:col>
      <xdr:colOff>404812</xdr:colOff>
      <xdr:row>10</xdr:row>
      <xdr:rowOff>154780</xdr:rowOff>
    </xdr:to>
    <xdr:sp macro="" textlink="">
      <xdr:nvSpPr>
        <xdr:cNvPr id="7" name="Rectangle: Rounded Corners 6">
          <a:extLst>
            <a:ext uri="{FF2B5EF4-FFF2-40B4-BE49-F238E27FC236}">
              <a16:creationId xmlns:a16="http://schemas.microsoft.com/office/drawing/2014/main" id="{A8CD944F-31E1-4347-BFFE-F1EADBEC7728}"/>
            </a:ext>
          </a:extLst>
        </xdr:cNvPr>
        <xdr:cNvSpPr/>
      </xdr:nvSpPr>
      <xdr:spPr>
        <a:xfrm>
          <a:off x="2097879" y="1202531"/>
          <a:ext cx="3183733" cy="857249"/>
        </a:xfrm>
        <a:prstGeom prst="roundRect">
          <a:avLst>
            <a:gd name="adj" fmla="val 13971"/>
          </a:avLst>
        </a:prstGeom>
        <a:solidFill>
          <a:schemeClr val="bg2"/>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lang="en-KE">
            <a:effectLst/>
          </a:endParaRPr>
        </a:p>
      </xdr:txBody>
    </xdr:sp>
    <xdr:clientData/>
  </xdr:twoCellAnchor>
  <xdr:twoCellAnchor>
    <xdr:from>
      <xdr:col>3</xdr:col>
      <xdr:colOff>254792</xdr:colOff>
      <xdr:row>11</xdr:row>
      <xdr:rowOff>11906</xdr:rowOff>
    </xdr:from>
    <xdr:to>
      <xdr:col>8</xdr:col>
      <xdr:colOff>392906</xdr:colOff>
      <xdr:row>37</xdr:row>
      <xdr:rowOff>0</xdr:rowOff>
    </xdr:to>
    <xdr:sp macro="" textlink="">
      <xdr:nvSpPr>
        <xdr:cNvPr id="8" name="Rectangle: Rounded Corners 7">
          <a:extLst>
            <a:ext uri="{FF2B5EF4-FFF2-40B4-BE49-F238E27FC236}">
              <a16:creationId xmlns:a16="http://schemas.microsoft.com/office/drawing/2014/main" id="{1471FCEA-7BB3-44D2-BEAD-CF1F52AB89CE}"/>
            </a:ext>
          </a:extLst>
        </xdr:cNvPr>
        <xdr:cNvSpPr/>
      </xdr:nvSpPr>
      <xdr:spPr>
        <a:xfrm>
          <a:off x="2096292" y="2107406"/>
          <a:ext cx="3207281" cy="4941094"/>
        </a:xfrm>
        <a:prstGeom prst="roundRect">
          <a:avLst>
            <a:gd name="adj" fmla="val 6228"/>
          </a:avLst>
        </a:prstGeom>
        <a:solidFill>
          <a:schemeClr val="bg2"/>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8</xdr:col>
      <xdr:colOff>442908</xdr:colOff>
      <xdr:row>6</xdr:row>
      <xdr:rowOff>61913</xdr:rowOff>
    </xdr:from>
    <xdr:to>
      <xdr:col>14</xdr:col>
      <xdr:colOff>547686</xdr:colOff>
      <xdr:row>21</xdr:row>
      <xdr:rowOff>95251</xdr:rowOff>
    </xdr:to>
    <xdr:sp macro="" textlink="">
      <xdr:nvSpPr>
        <xdr:cNvPr id="9" name="Rectangle: Rounded Corners 8">
          <a:extLst>
            <a:ext uri="{FF2B5EF4-FFF2-40B4-BE49-F238E27FC236}">
              <a16:creationId xmlns:a16="http://schemas.microsoft.com/office/drawing/2014/main" id="{77AB94AB-C718-435C-A461-8F39798BAA66}"/>
            </a:ext>
          </a:extLst>
        </xdr:cNvPr>
        <xdr:cNvSpPr/>
      </xdr:nvSpPr>
      <xdr:spPr>
        <a:xfrm>
          <a:off x="5353575" y="1204913"/>
          <a:ext cx="3787778" cy="2890838"/>
        </a:xfrm>
        <a:prstGeom prst="roundRect">
          <a:avLst>
            <a:gd name="adj" fmla="val 7276"/>
          </a:avLst>
        </a:prstGeom>
        <a:solidFill>
          <a:schemeClr val="bg2"/>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8</xdr:col>
      <xdr:colOff>454816</xdr:colOff>
      <xdr:row>21</xdr:row>
      <xdr:rowOff>142872</xdr:rowOff>
    </xdr:from>
    <xdr:to>
      <xdr:col>14</xdr:col>
      <xdr:colOff>559593</xdr:colOff>
      <xdr:row>37</xdr:row>
      <xdr:rowOff>11903</xdr:rowOff>
    </xdr:to>
    <xdr:sp macro="" textlink="">
      <xdr:nvSpPr>
        <xdr:cNvPr id="10" name="Rectangle: Rounded Corners 9">
          <a:extLst>
            <a:ext uri="{FF2B5EF4-FFF2-40B4-BE49-F238E27FC236}">
              <a16:creationId xmlns:a16="http://schemas.microsoft.com/office/drawing/2014/main" id="{9E34E9FB-5338-42F4-8504-D7FDF539F6C1}"/>
            </a:ext>
          </a:extLst>
        </xdr:cNvPr>
        <xdr:cNvSpPr/>
      </xdr:nvSpPr>
      <xdr:spPr>
        <a:xfrm>
          <a:off x="5365483" y="4143372"/>
          <a:ext cx="3787777" cy="2917031"/>
        </a:xfrm>
        <a:prstGeom prst="roundRect">
          <a:avLst>
            <a:gd name="adj" fmla="val 7388"/>
          </a:avLst>
        </a:prstGeom>
        <a:solidFill>
          <a:schemeClr val="bg2"/>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14</xdr:col>
      <xdr:colOff>595311</xdr:colOff>
      <xdr:row>6</xdr:row>
      <xdr:rowOff>59532</xdr:rowOff>
    </xdr:from>
    <xdr:to>
      <xdr:col>20</xdr:col>
      <xdr:colOff>542926</xdr:colOff>
      <xdr:row>21</xdr:row>
      <xdr:rowOff>92870</xdr:rowOff>
    </xdr:to>
    <xdr:sp macro="" textlink="">
      <xdr:nvSpPr>
        <xdr:cNvPr id="11" name="Rectangle: Rounded Corners 10">
          <a:extLst>
            <a:ext uri="{FF2B5EF4-FFF2-40B4-BE49-F238E27FC236}">
              <a16:creationId xmlns:a16="http://schemas.microsoft.com/office/drawing/2014/main" id="{526DC830-C54F-4F76-8B7A-178800ACB16E}"/>
            </a:ext>
          </a:extLst>
        </xdr:cNvPr>
        <xdr:cNvSpPr/>
      </xdr:nvSpPr>
      <xdr:spPr>
        <a:xfrm>
          <a:off x="9188978" y="1202532"/>
          <a:ext cx="3630615" cy="2890838"/>
        </a:xfrm>
        <a:prstGeom prst="roundRect">
          <a:avLst>
            <a:gd name="adj" fmla="val 6386"/>
          </a:avLst>
        </a:prstGeom>
        <a:solidFill>
          <a:schemeClr val="bg2"/>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15</xdr:col>
      <xdr:colOff>1</xdr:colOff>
      <xdr:row>21</xdr:row>
      <xdr:rowOff>152400</xdr:rowOff>
    </xdr:from>
    <xdr:to>
      <xdr:col>20</xdr:col>
      <xdr:colOff>564357</xdr:colOff>
      <xdr:row>36</xdr:row>
      <xdr:rowOff>185738</xdr:rowOff>
    </xdr:to>
    <xdr:sp macro="" textlink="">
      <xdr:nvSpPr>
        <xdr:cNvPr id="12" name="Rectangle: Rounded Corners 11">
          <a:extLst>
            <a:ext uri="{FF2B5EF4-FFF2-40B4-BE49-F238E27FC236}">
              <a16:creationId xmlns:a16="http://schemas.microsoft.com/office/drawing/2014/main" id="{DE2EE507-D91F-468E-BF51-1B0577E45F04}"/>
            </a:ext>
          </a:extLst>
        </xdr:cNvPr>
        <xdr:cNvSpPr/>
      </xdr:nvSpPr>
      <xdr:spPr>
        <a:xfrm>
          <a:off x="9207501" y="4152900"/>
          <a:ext cx="3633523" cy="2890838"/>
        </a:xfrm>
        <a:prstGeom prst="roundRect">
          <a:avLst>
            <a:gd name="adj" fmla="val 6158"/>
          </a:avLst>
        </a:prstGeom>
        <a:solidFill>
          <a:schemeClr val="bg2"/>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6</xdr:col>
      <xdr:colOff>166686</xdr:colOff>
      <xdr:row>1</xdr:row>
      <xdr:rowOff>35719</xdr:rowOff>
    </xdr:from>
    <xdr:to>
      <xdr:col>20</xdr:col>
      <xdr:colOff>190499</xdr:colOff>
      <xdr:row>4</xdr:row>
      <xdr:rowOff>59532</xdr:rowOff>
    </xdr:to>
    <xdr:sp macro="" textlink="">
      <xdr:nvSpPr>
        <xdr:cNvPr id="13" name="TextBox 12">
          <a:extLst>
            <a:ext uri="{FF2B5EF4-FFF2-40B4-BE49-F238E27FC236}">
              <a16:creationId xmlns:a16="http://schemas.microsoft.com/office/drawing/2014/main" id="{F46F0BE7-510A-4BE7-AF3F-38B47168607D}"/>
            </a:ext>
          </a:extLst>
        </xdr:cNvPr>
        <xdr:cNvSpPr txBox="1"/>
      </xdr:nvSpPr>
      <xdr:spPr>
        <a:xfrm>
          <a:off x="3824286" y="226219"/>
          <a:ext cx="8558213" cy="595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000">
              <a:solidFill>
                <a:srgbClr val="00B0F0"/>
              </a:solidFill>
            </a:rPr>
            <a:t>TEST SALES</a:t>
          </a:r>
          <a:r>
            <a:rPr lang="en-US" sz="4000" baseline="0">
              <a:solidFill>
                <a:srgbClr val="00B0F0"/>
              </a:solidFill>
            </a:rPr>
            <a:t> DATA DASHBOARD</a:t>
          </a:r>
          <a:endParaRPr lang="en-KE" sz="4000">
            <a:solidFill>
              <a:srgbClr val="00B0F0"/>
            </a:solidFill>
          </a:endParaRPr>
        </a:p>
      </xdr:txBody>
    </xdr:sp>
    <xdr:clientData/>
  </xdr:twoCellAnchor>
  <xdr:twoCellAnchor>
    <xdr:from>
      <xdr:col>3</xdr:col>
      <xdr:colOff>309562</xdr:colOff>
      <xdr:row>7</xdr:row>
      <xdr:rowOff>47625</xdr:rowOff>
    </xdr:from>
    <xdr:to>
      <xdr:col>8</xdr:col>
      <xdr:colOff>357187</xdr:colOff>
      <xdr:row>11</xdr:row>
      <xdr:rowOff>142874</xdr:rowOff>
    </xdr:to>
    <xdr:sp macro="" textlink="'Pivot table'!P4">
      <xdr:nvSpPr>
        <xdr:cNvPr id="14" name="TextBox 13">
          <a:extLst>
            <a:ext uri="{FF2B5EF4-FFF2-40B4-BE49-F238E27FC236}">
              <a16:creationId xmlns:a16="http://schemas.microsoft.com/office/drawing/2014/main" id="{D553B969-9B3C-48B0-BA48-62374335730A}"/>
            </a:ext>
          </a:extLst>
        </xdr:cNvPr>
        <xdr:cNvSpPr txBox="1"/>
      </xdr:nvSpPr>
      <xdr:spPr>
        <a:xfrm>
          <a:off x="2138362" y="1381125"/>
          <a:ext cx="3095625" cy="857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014B579-7477-4EEE-9D34-224AEA23521B}" type="TxLink">
            <a:rPr lang="en-US" sz="2400" b="1" i="0" u="none" strike="noStrike">
              <a:solidFill>
                <a:srgbClr val="00B0F0"/>
              </a:solidFill>
              <a:latin typeface="Calibri"/>
              <a:cs typeface="Calibri"/>
            </a:rPr>
            <a:pPr/>
            <a:t>Total sales = 52993482</a:t>
          </a:fld>
          <a:endParaRPr lang="en-KE" sz="2400" b="1">
            <a:solidFill>
              <a:srgbClr val="00B0F0"/>
            </a:solidFill>
          </a:endParaRPr>
        </a:p>
      </xdr:txBody>
    </xdr:sp>
    <xdr:clientData/>
  </xdr:twoCellAnchor>
  <xdr:twoCellAnchor>
    <xdr:from>
      <xdr:col>4</xdr:col>
      <xdr:colOff>11907</xdr:colOff>
      <xdr:row>11</xdr:row>
      <xdr:rowOff>47624</xdr:rowOff>
    </xdr:from>
    <xdr:to>
      <xdr:col>8</xdr:col>
      <xdr:colOff>47625</xdr:colOff>
      <xdr:row>13</xdr:row>
      <xdr:rowOff>107155</xdr:rowOff>
    </xdr:to>
    <xdr:sp macro="" textlink="">
      <xdr:nvSpPr>
        <xdr:cNvPr id="15" name="TextBox 14">
          <a:extLst>
            <a:ext uri="{FF2B5EF4-FFF2-40B4-BE49-F238E27FC236}">
              <a16:creationId xmlns:a16="http://schemas.microsoft.com/office/drawing/2014/main" id="{AEAE4448-3E92-41D3-9942-B172A331D6FF}"/>
            </a:ext>
          </a:extLst>
        </xdr:cNvPr>
        <xdr:cNvSpPr txBox="1"/>
      </xdr:nvSpPr>
      <xdr:spPr>
        <a:xfrm>
          <a:off x="2450307" y="2143124"/>
          <a:ext cx="2474118" cy="440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rgbClr val="00B0F0"/>
              </a:solidFill>
            </a:rPr>
            <a:t>Products by Units</a:t>
          </a:r>
          <a:r>
            <a:rPr lang="en-US" sz="1800" baseline="0">
              <a:solidFill>
                <a:srgbClr val="00B0F0"/>
              </a:solidFill>
            </a:rPr>
            <a:t> Sold</a:t>
          </a:r>
          <a:endParaRPr lang="en-KE" sz="1800">
            <a:solidFill>
              <a:srgbClr val="00B0F0"/>
            </a:solidFill>
          </a:endParaRPr>
        </a:p>
      </xdr:txBody>
    </xdr:sp>
    <xdr:clientData/>
  </xdr:twoCellAnchor>
  <xdr:twoCellAnchor>
    <xdr:from>
      <xdr:col>3</xdr:col>
      <xdr:colOff>345282</xdr:colOff>
      <xdr:row>13</xdr:row>
      <xdr:rowOff>71438</xdr:rowOff>
    </xdr:from>
    <xdr:to>
      <xdr:col>8</xdr:col>
      <xdr:colOff>297657</xdr:colOff>
      <xdr:row>36</xdr:row>
      <xdr:rowOff>142875</xdr:rowOff>
    </xdr:to>
    <xdr:graphicFrame macro="">
      <xdr:nvGraphicFramePr>
        <xdr:cNvPr id="16" name="Chart 3">
          <a:extLst>
            <a:ext uri="{FF2B5EF4-FFF2-40B4-BE49-F238E27FC236}">
              <a16:creationId xmlns:a16="http://schemas.microsoft.com/office/drawing/2014/main" id="{B1E5C91F-1AB0-4FCD-982D-532A795FA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464344</xdr:colOff>
      <xdr:row>8</xdr:row>
      <xdr:rowOff>95250</xdr:rowOff>
    </xdr:from>
    <xdr:to>
      <xdr:col>14</xdr:col>
      <xdr:colOff>535781</xdr:colOff>
      <xdr:row>21</xdr:row>
      <xdr:rowOff>83344</xdr:rowOff>
    </xdr:to>
    <xdr:graphicFrame macro="">
      <xdr:nvGraphicFramePr>
        <xdr:cNvPr id="17" name="Chart 4">
          <a:extLst>
            <a:ext uri="{FF2B5EF4-FFF2-40B4-BE49-F238E27FC236}">
              <a16:creationId xmlns:a16="http://schemas.microsoft.com/office/drawing/2014/main" id="{C32E860F-B3A4-47A8-BFE4-D549CAB195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154781</xdr:colOff>
      <xdr:row>6</xdr:row>
      <xdr:rowOff>142875</xdr:rowOff>
    </xdr:from>
    <xdr:to>
      <xdr:col>14</xdr:col>
      <xdr:colOff>440531</xdr:colOff>
      <xdr:row>8</xdr:row>
      <xdr:rowOff>107156</xdr:rowOff>
    </xdr:to>
    <xdr:sp macro="" textlink="">
      <xdr:nvSpPr>
        <xdr:cNvPr id="18" name="TextBox 17">
          <a:extLst>
            <a:ext uri="{FF2B5EF4-FFF2-40B4-BE49-F238E27FC236}">
              <a16:creationId xmlns:a16="http://schemas.microsoft.com/office/drawing/2014/main" id="{CD5BA4F1-F96F-4AA5-ABD8-D9C8E13959C5}"/>
            </a:ext>
          </a:extLst>
        </xdr:cNvPr>
        <xdr:cNvSpPr txBox="1"/>
      </xdr:nvSpPr>
      <xdr:spPr>
        <a:xfrm>
          <a:off x="5641181" y="1285875"/>
          <a:ext cx="3333750" cy="3452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r>
            <a:rPr lang="en-US" sz="1800">
              <a:solidFill>
                <a:srgbClr val="00B0F0"/>
              </a:solidFill>
            </a:rPr>
            <a:t>Sales</a:t>
          </a:r>
          <a:r>
            <a:rPr lang="en-US" sz="1800" baseline="0">
              <a:solidFill>
                <a:srgbClr val="00B0F0"/>
              </a:solidFill>
            </a:rPr>
            <a:t> person </a:t>
          </a:r>
          <a:r>
            <a:rPr lang="en-US" sz="1800">
              <a:solidFill>
                <a:srgbClr val="00B0F0"/>
              </a:solidFill>
            </a:rPr>
            <a:t>by Units Sold</a:t>
          </a:r>
          <a:endParaRPr lang="en-KE" sz="1800">
            <a:solidFill>
              <a:srgbClr val="00B0F0"/>
            </a:solidFill>
          </a:endParaRPr>
        </a:p>
      </xdr:txBody>
    </xdr:sp>
    <xdr:clientData/>
  </xdr:twoCellAnchor>
  <xdr:twoCellAnchor>
    <xdr:from>
      <xdr:col>9</xdr:col>
      <xdr:colOff>511968</xdr:colOff>
      <xdr:row>22</xdr:row>
      <xdr:rowOff>0</xdr:rowOff>
    </xdr:from>
    <xdr:to>
      <xdr:col>13</xdr:col>
      <xdr:colOff>511968</xdr:colOff>
      <xdr:row>23</xdr:row>
      <xdr:rowOff>142875</xdr:rowOff>
    </xdr:to>
    <xdr:sp macro="" textlink="">
      <xdr:nvSpPr>
        <xdr:cNvPr id="19" name="TextBox 18">
          <a:extLst>
            <a:ext uri="{FF2B5EF4-FFF2-40B4-BE49-F238E27FC236}">
              <a16:creationId xmlns:a16="http://schemas.microsoft.com/office/drawing/2014/main" id="{9DB0EC8D-2D14-45B4-8149-80F15FD0B2FF}"/>
            </a:ext>
          </a:extLst>
        </xdr:cNvPr>
        <xdr:cNvSpPr txBox="1"/>
      </xdr:nvSpPr>
      <xdr:spPr>
        <a:xfrm>
          <a:off x="5998368" y="4191000"/>
          <a:ext cx="243840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rgbClr val="00B0F0"/>
              </a:solidFill>
            </a:rPr>
            <a:t>Weekday by Units Sold</a:t>
          </a:r>
          <a:endParaRPr lang="en-KE" sz="1800">
            <a:solidFill>
              <a:srgbClr val="00B0F0"/>
            </a:solidFill>
          </a:endParaRPr>
        </a:p>
      </xdr:txBody>
    </xdr:sp>
    <xdr:clientData/>
  </xdr:twoCellAnchor>
  <xdr:twoCellAnchor>
    <xdr:from>
      <xdr:col>8</xdr:col>
      <xdr:colOff>476251</xdr:colOff>
      <xdr:row>23</xdr:row>
      <xdr:rowOff>107155</xdr:rowOff>
    </xdr:from>
    <xdr:to>
      <xdr:col>14</xdr:col>
      <xdr:colOff>511969</xdr:colOff>
      <xdr:row>36</xdr:row>
      <xdr:rowOff>154780</xdr:rowOff>
    </xdr:to>
    <xdr:graphicFrame macro="">
      <xdr:nvGraphicFramePr>
        <xdr:cNvPr id="20" name="Chart 5">
          <a:extLst>
            <a:ext uri="{FF2B5EF4-FFF2-40B4-BE49-F238E27FC236}">
              <a16:creationId xmlns:a16="http://schemas.microsoft.com/office/drawing/2014/main" id="{8862922B-B400-4504-A44A-3683C68BDA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238124</xdr:colOff>
      <xdr:row>6</xdr:row>
      <xdr:rowOff>107156</xdr:rowOff>
    </xdr:from>
    <xdr:to>
      <xdr:col>19</xdr:col>
      <xdr:colOff>559593</xdr:colOff>
      <xdr:row>8</xdr:row>
      <xdr:rowOff>23813</xdr:rowOff>
    </xdr:to>
    <xdr:sp macro="" textlink="">
      <xdr:nvSpPr>
        <xdr:cNvPr id="21" name="TextBox 20">
          <a:extLst>
            <a:ext uri="{FF2B5EF4-FFF2-40B4-BE49-F238E27FC236}">
              <a16:creationId xmlns:a16="http://schemas.microsoft.com/office/drawing/2014/main" id="{4B7B11FA-56B6-4B3A-887D-BBC22A8AAE13}"/>
            </a:ext>
          </a:extLst>
        </xdr:cNvPr>
        <xdr:cNvSpPr txBox="1"/>
      </xdr:nvSpPr>
      <xdr:spPr>
        <a:xfrm>
          <a:off x="9991724" y="1250156"/>
          <a:ext cx="2150269" cy="29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rgbClr val="00B0F0"/>
              </a:solidFill>
            </a:rPr>
            <a:t>Month by units sold</a:t>
          </a:r>
          <a:endParaRPr lang="en-KE" sz="1800">
            <a:solidFill>
              <a:srgbClr val="00B0F0"/>
            </a:solidFill>
          </a:endParaRPr>
        </a:p>
      </xdr:txBody>
    </xdr:sp>
    <xdr:clientData/>
  </xdr:twoCellAnchor>
  <xdr:twoCellAnchor>
    <xdr:from>
      <xdr:col>16</xdr:col>
      <xdr:colOff>238124</xdr:colOff>
      <xdr:row>22</xdr:row>
      <xdr:rowOff>35719</xdr:rowOff>
    </xdr:from>
    <xdr:to>
      <xdr:col>19</xdr:col>
      <xdr:colOff>476249</xdr:colOff>
      <xdr:row>23</xdr:row>
      <xdr:rowOff>154782</xdr:rowOff>
    </xdr:to>
    <xdr:sp macro="" textlink="">
      <xdr:nvSpPr>
        <xdr:cNvPr id="22" name="TextBox 21">
          <a:extLst>
            <a:ext uri="{FF2B5EF4-FFF2-40B4-BE49-F238E27FC236}">
              <a16:creationId xmlns:a16="http://schemas.microsoft.com/office/drawing/2014/main" id="{D9A2E99C-586F-42B5-8571-E38CD3C2A210}"/>
            </a:ext>
          </a:extLst>
        </xdr:cNvPr>
        <xdr:cNvSpPr txBox="1"/>
      </xdr:nvSpPr>
      <xdr:spPr>
        <a:xfrm>
          <a:off x="9991724" y="4226719"/>
          <a:ext cx="2066925" cy="3095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rgbClr val="00B0F0"/>
              </a:solidFill>
            </a:rPr>
            <a:t>Region by units sold</a:t>
          </a:r>
          <a:endParaRPr lang="en-KE" sz="1800">
            <a:solidFill>
              <a:srgbClr val="00B0F0"/>
            </a:solidFill>
          </a:endParaRPr>
        </a:p>
      </xdr:txBody>
    </xdr:sp>
    <xdr:clientData/>
  </xdr:twoCellAnchor>
  <xdr:twoCellAnchor>
    <xdr:from>
      <xdr:col>15</xdr:col>
      <xdr:colOff>35718</xdr:colOff>
      <xdr:row>8</xdr:row>
      <xdr:rowOff>107156</xdr:rowOff>
    </xdr:from>
    <xdr:to>
      <xdr:col>20</xdr:col>
      <xdr:colOff>500063</xdr:colOff>
      <xdr:row>21</xdr:row>
      <xdr:rowOff>35718</xdr:rowOff>
    </xdr:to>
    <xdr:graphicFrame macro="">
      <xdr:nvGraphicFramePr>
        <xdr:cNvPr id="23" name="Chart 6">
          <a:extLst>
            <a:ext uri="{FF2B5EF4-FFF2-40B4-BE49-F238E27FC236}">
              <a16:creationId xmlns:a16="http://schemas.microsoft.com/office/drawing/2014/main" id="{91DD543A-0C18-45E4-B795-0B4D91A0C2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107156</xdr:colOff>
      <xdr:row>24</xdr:row>
      <xdr:rowOff>0</xdr:rowOff>
    </xdr:from>
    <xdr:to>
      <xdr:col>20</xdr:col>
      <xdr:colOff>476251</xdr:colOff>
      <xdr:row>36</xdr:row>
      <xdr:rowOff>47625</xdr:rowOff>
    </xdr:to>
    <xdr:graphicFrame macro="">
      <xdr:nvGraphicFramePr>
        <xdr:cNvPr id="24" name="Chart 7">
          <a:extLst>
            <a:ext uri="{FF2B5EF4-FFF2-40B4-BE49-F238E27FC236}">
              <a16:creationId xmlns:a16="http://schemas.microsoft.com/office/drawing/2014/main" id="{38144A59-E811-4659-A0E9-EF05B3487E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83344</xdr:colOff>
      <xdr:row>0</xdr:row>
      <xdr:rowOff>107157</xdr:rowOff>
    </xdr:from>
    <xdr:to>
      <xdr:col>3</xdr:col>
      <xdr:colOff>202405</xdr:colOff>
      <xdr:row>12</xdr:row>
      <xdr:rowOff>0</xdr:rowOff>
    </xdr:to>
    <mc:AlternateContent xmlns:mc="http://schemas.openxmlformats.org/markup-compatibility/2006" xmlns:a14="http://schemas.microsoft.com/office/drawing/2010/main">
      <mc:Choice Requires="a14">
        <xdr:graphicFrame macro="">
          <xdr:nvGraphicFramePr>
            <xdr:cNvPr id="25" name="Region 1">
              <a:extLst>
                <a:ext uri="{FF2B5EF4-FFF2-40B4-BE49-F238E27FC236}">
                  <a16:creationId xmlns:a16="http://schemas.microsoft.com/office/drawing/2014/main" id="{702F9683-B956-461E-B9A4-7D6B5709E5D2}"/>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83344" y="107157"/>
              <a:ext cx="1960561" cy="2178843"/>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71438</xdr:colOff>
      <xdr:row>12</xdr:row>
      <xdr:rowOff>95249</xdr:rowOff>
    </xdr:from>
    <xdr:to>
      <xdr:col>3</xdr:col>
      <xdr:colOff>178594</xdr:colOff>
      <xdr:row>23</xdr:row>
      <xdr:rowOff>2645</xdr:rowOff>
    </xdr:to>
    <mc:AlternateContent xmlns:mc="http://schemas.openxmlformats.org/markup-compatibility/2006" xmlns:a14="http://schemas.microsoft.com/office/drawing/2010/main">
      <mc:Choice Requires="a14">
        <xdr:graphicFrame macro="">
          <xdr:nvGraphicFramePr>
            <xdr:cNvPr id="26" name="Product 1">
              <a:extLst>
                <a:ext uri="{FF2B5EF4-FFF2-40B4-BE49-F238E27FC236}">
                  <a16:creationId xmlns:a16="http://schemas.microsoft.com/office/drawing/2014/main" id="{D364D706-62A3-46E8-B75B-E966F4BE92F2}"/>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71438" y="2381249"/>
              <a:ext cx="1948656" cy="2214563"/>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95250</xdr:colOff>
      <xdr:row>24</xdr:row>
      <xdr:rowOff>107156</xdr:rowOff>
    </xdr:from>
    <xdr:to>
      <xdr:col>3</xdr:col>
      <xdr:colOff>154781</xdr:colOff>
      <xdr:row>36</xdr:row>
      <xdr:rowOff>130969</xdr:rowOff>
    </xdr:to>
    <mc:AlternateContent xmlns:mc="http://schemas.openxmlformats.org/markup-compatibility/2006" xmlns:a14="http://schemas.microsoft.com/office/drawing/2010/main">
      <mc:Choice Requires="a14">
        <xdr:graphicFrame macro="">
          <xdr:nvGraphicFramePr>
            <xdr:cNvPr id="27" name="Month 1">
              <a:extLst>
                <a:ext uri="{FF2B5EF4-FFF2-40B4-BE49-F238E27FC236}">
                  <a16:creationId xmlns:a16="http://schemas.microsoft.com/office/drawing/2014/main" id="{DEEC1E0E-C391-47D8-9BA7-2F6B83DBC174}"/>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95250" y="4679156"/>
              <a:ext cx="1901031" cy="2309813"/>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597694</xdr:colOff>
      <xdr:row>37</xdr:row>
      <xdr:rowOff>47625</xdr:rowOff>
    </xdr:to>
    <xdr:sp macro="" textlink="">
      <xdr:nvSpPr>
        <xdr:cNvPr id="2" name="Rectangle 1">
          <a:extLst>
            <a:ext uri="{FF2B5EF4-FFF2-40B4-BE49-F238E27FC236}">
              <a16:creationId xmlns:a16="http://schemas.microsoft.com/office/drawing/2014/main" id="{D618FEA4-29D3-43FA-8430-73A4B45A6C5B}"/>
            </a:ext>
          </a:extLst>
        </xdr:cNvPr>
        <xdr:cNvSpPr/>
      </xdr:nvSpPr>
      <xdr:spPr>
        <a:xfrm>
          <a:off x="0" y="0"/>
          <a:ext cx="12742069" cy="7096125"/>
        </a:xfrm>
        <a:prstGeom prst="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0</xdr:col>
      <xdr:colOff>71436</xdr:colOff>
      <xdr:row>0</xdr:row>
      <xdr:rowOff>107157</xdr:rowOff>
    </xdr:from>
    <xdr:to>
      <xdr:col>3</xdr:col>
      <xdr:colOff>202405</xdr:colOff>
      <xdr:row>12</xdr:row>
      <xdr:rowOff>23813</xdr:rowOff>
    </xdr:to>
    <xdr:sp macro="" textlink="">
      <xdr:nvSpPr>
        <xdr:cNvPr id="4" name="Rectangle: Rounded Corners 3">
          <a:extLst>
            <a:ext uri="{FF2B5EF4-FFF2-40B4-BE49-F238E27FC236}">
              <a16:creationId xmlns:a16="http://schemas.microsoft.com/office/drawing/2014/main" id="{92FC1DCA-CB47-4AA1-BB27-14BB5DB4A0D6}"/>
            </a:ext>
          </a:extLst>
        </xdr:cNvPr>
        <xdr:cNvSpPr/>
      </xdr:nvSpPr>
      <xdr:spPr>
        <a:xfrm>
          <a:off x="71436" y="107157"/>
          <a:ext cx="1952625" cy="2202656"/>
        </a:xfrm>
        <a:prstGeom prst="roundRect">
          <a:avLst>
            <a:gd name="adj" fmla="val 3459"/>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0</xdr:col>
      <xdr:colOff>80960</xdr:colOff>
      <xdr:row>12</xdr:row>
      <xdr:rowOff>107156</xdr:rowOff>
    </xdr:from>
    <xdr:to>
      <xdr:col>3</xdr:col>
      <xdr:colOff>178593</xdr:colOff>
      <xdr:row>24</xdr:row>
      <xdr:rowOff>35718</xdr:rowOff>
    </xdr:to>
    <xdr:sp macro="" textlink="">
      <xdr:nvSpPr>
        <xdr:cNvPr id="5" name="Rectangle: Rounded Corners 4">
          <a:extLst>
            <a:ext uri="{FF2B5EF4-FFF2-40B4-BE49-F238E27FC236}">
              <a16:creationId xmlns:a16="http://schemas.microsoft.com/office/drawing/2014/main" id="{C43175C8-74F5-4639-9862-326D1B534094}"/>
            </a:ext>
          </a:extLst>
        </xdr:cNvPr>
        <xdr:cNvSpPr/>
      </xdr:nvSpPr>
      <xdr:spPr>
        <a:xfrm>
          <a:off x="80960" y="2393156"/>
          <a:ext cx="1919289" cy="2214562"/>
        </a:xfrm>
        <a:prstGeom prst="roundRect">
          <a:avLst>
            <a:gd name="adj" fmla="val 4717"/>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0</xdr:col>
      <xdr:colOff>80960</xdr:colOff>
      <xdr:row>24</xdr:row>
      <xdr:rowOff>69055</xdr:rowOff>
    </xdr:from>
    <xdr:to>
      <xdr:col>3</xdr:col>
      <xdr:colOff>166687</xdr:colOff>
      <xdr:row>36</xdr:row>
      <xdr:rowOff>178594</xdr:rowOff>
    </xdr:to>
    <xdr:sp macro="" textlink="">
      <xdr:nvSpPr>
        <xdr:cNvPr id="6" name="Rectangle: Rounded Corners 5">
          <a:extLst>
            <a:ext uri="{FF2B5EF4-FFF2-40B4-BE49-F238E27FC236}">
              <a16:creationId xmlns:a16="http://schemas.microsoft.com/office/drawing/2014/main" id="{FFF9D04E-1F90-410C-B2A1-EB269477A2CD}"/>
            </a:ext>
          </a:extLst>
        </xdr:cNvPr>
        <xdr:cNvSpPr/>
      </xdr:nvSpPr>
      <xdr:spPr>
        <a:xfrm>
          <a:off x="80960" y="4641055"/>
          <a:ext cx="1907383" cy="2395539"/>
        </a:xfrm>
        <a:prstGeom prst="roundRect">
          <a:avLst>
            <a:gd name="adj" fmla="val 5975"/>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3</xdr:col>
      <xdr:colOff>211930</xdr:colOff>
      <xdr:row>0</xdr:row>
      <xdr:rowOff>80963</xdr:rowOff>
    </xdr:from>
    <xdr:to>
      <xdr:col>20</xdr:col>
      <xdr:colOff>535780</xdr:colOff>
      <xdr:row>5</xdr:row>
      <xdr:rowOff>190499</xdr:rowOff>
    </xdr:to>
    <xdr:sp macro="" textlink="">
      <xdr:nvSpPr>
        <xdr:cNvPr id="7" name="Rectangle: Rounded Corners 6">
          <a:extLst>
            <a:ext uri="{FF2B5EF4-FFF2-40B4-BE49-F238E27FC236}">
              <a16:creationId xmlns:a16="http://schemas.microsoft.com/office/drawing/2014/main" id="{06FDD20F-0935-46CE-8AE2-04EE812F22F1}"/>
            </a:ext>
          </a:extLst>
        </xdr:cNvPr>
        <xdr:cNvSpPr/>
      </xdr:nvSpPr>
      <xdr:spPr>
        <a:xfrm>
          <a:off x="2033586" y="80963"/>
          <a:ext cx="10646569" cy="1062036"/>
        </a:xfrm>
        <a:prstGeom prst="roundRect">
          <a:avLst>
            <a:gd name="adj" fmla="val 16912"/>
          </a:avLst>
        </a:prstGeom>
        <a:solidFill>
          <a:schemeClr val="bg2"/>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3</xdr:col>
      <xdr:colOff>269079</xdr:colOff>
      <xdr:row>6</xdr:row>
      <xdr:rowOff>59531</xdr:rowOff>
    </xdr:from>
    <xdr:to>
      <xdr:col>8</xdr:col>
      <xdr:colOff>404812</xdr:colOff>
      <xdr:row>10</xdr:row>
      <xdr:rowOff>154780</xdr:rowOff>
    </xdr:to>
    <xdr:sp macro="" textlink="">
      <xdr:nvSpPr>
        <xdr:cNvPr id="8" name="Rectangle: Rounded Corners 7">
          <a:extLst>
            <a:ext uri="{FF2B5EF4-FFF2-40B4-BE49-F238E27FC236}">
              <a16:creationId xmlns:a16="http://schemas.microsoft.com/office/drawing/2014/main" id="{8A34B958-7498-434E-BF93-C064AF785712}"/>
            </a:ext>
          </a:extLst>
        </xdr:cNvPr>
        <xdr:cNvSpPr/>
      </xdr:nvSpPr>
      <xdr:spPr>
        <a:xfrm>
          <a:off x="2090735" y="1202531"/>
          <a:ext cx="3171827" cy="857249"/>
        </a:xfrm>
        <a:prstGeom prst="roundRect">
          <a:avLst>
            <a:gd name="adj" fmla="val 13971"/>
          </a:avLst>
        </a:prstGeom>
        <a:solidFill>
          <a:schemeClr val="bg2"/>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lang="en-KE">
            <a:effectLst/>
          </a:endParaRPr>
        </a:p>
      </xdr:txBody>
    </xdr:sp>
    <xdr:clientData/>
  </xdr:twoCellAnchor>
  <xdr:twoCellAnchor>
    <xdr:from>
      <xdr:col>3</xdr:col>
      <xdr:colOff>254792</xdr:colOff>
      <xdr:row>11</xdr:row>
      <xdr:rowOff>11906</xdr:rowOff>
    </xdr:from>
    <xdr:to>
      <xdr:col>8</xdr:col>
      <xdr:colOff>392906</xdr:colOff>
      <xdr:row>37</xdr:row>
      <xdr:rowOff>0</xdr:rowOff>
    </xdr:to>
    <xdr:sp macro="" textlink="">
      <xdr:nvSpPr>
        <xdr:cNvPr id="9" name="Rectangle: Rounded Corners 8">
          <a:extLst>
            <a:ext uri="{FF2B5EF4-FFF2-40B4-BE49-F238E27FC236}">
              <a16:creationId xmlns:a16="http://schemas.microsoft.com/office/drawing/2014/main" id="{F1E65D94-4F12-4159-AC32-7336D987849D}"/>
            </a:ext>
          </a:extLst>
        </xdr:cNvPr>
        <xdr:cNvSpPr/>
      </xdr:nvSpPr>
      <xdr:spPr>
        <a:xfrm>
          <a:off x="2076448" y="2107406"/>
          <a:ext cx="3174208" cy="4941094"/>
        </a:xfrm>
        <a:prstGeom prst="roundRect">
          <a:avLst>
            <a:gd name="adj" fmla="val 2928"/>
          </a:avLst>
        </a:prstGeom>
        <a:solidFill>
          <a:schemeClr val="bg2"/>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8</xdr:col>
      <xdr:colOff>442908</xdr:colOff>
      <xdr:row>6</xdr:row>
      <xdr:rowOff>61913</xdr:rowOff>
    </xdr:from>
    <xdr:to>
      <xdr:col>14</xdr:col>
      <xdr:colOff>547686</xdr:colOff>
      <xdr:row>21</xdr:row>
      <xdr:rowOff>95251</xdr:rowOff>
    </xdr:to>
    <xdr:sp macro="" textlink="">
      <xdr:nvSpPr>
        <xdr:cNvPr id="10" name="Rectangle: Rounded Corners 9">
          <a:extLst>
            <a:ext uri="{FF2B5EF4-FFF2-40B4-BE49-F238E27FC236}">
              <a16:creationId xmlns:a16="http://schemas.microsoft.com/office/drawing/2014/main" id="{3A1BD58B-620B-45CE-9130-22E352D08CE5}"/>
            </a:ext>
          </a:extLst>
        </xdr:cNvPr>
        <xdr:cNvSpPr/>
      </xdr:nvSpPr>
      <xdr:spPr>
        <a:xfrm>
          <a:off x="5300658" y="1204913"/>
          <a:ext cx="3748091" cy="2890838"/>
        </a:xfrm>
        <a:prstGeom prst="roundRect">
          <a:avLst>
            <a:gd name="adj" fmla="val 2883"/>
          </a:avLst>
        </a:prstGeom>
        <a:solidFill>
          <a:schemeClr val="bg2"/>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8</xdr:col>
      <xdr:colOff>454816</xdr:colOff>
      <xdr:row>21</xdr:row>
      <xdr:rowOff>142872</xdr:rowOff>
    </xdr:from>
    <xdr:to>
      <xdr:col>14</xdr:col>
      <xdr:colOff>559593</xdr:colOff>
      <xdr:row>37</xdr:row>
      <xdr:rowOff>11903</xdr:rowOff>
    </xdr:to>
    <xdr:sp macro="" textlink="">
      <xdr:nvSpPr>
        <xdr:cNvPr id="11" name="Rectangle: Rounded Corners 10">
          <a:extLst>
            <a:ext uri="{FF2B5EF4-FFF2-40B4-BE49-F238E27FC236}">
              <a16:creationId xmlns:a16="http://schemas.microsoft.com/office/drawing/2014/main" id="{1C4952E2-4F46-4AE4-8FB5-61578E7AE5F9}"/>
            </a:ext>
          </a:extLst>
        </xdr:cNvPr>
        <xdr:cNvSpPr/>
      </xdr:nvSpPr>
      <xdr:spPr>
        <a:xfrm>
          <a:off x="5312566" y="4143372"/>
          <a:ext cx="3748090" cy="2917031"/>
        </a:xfrm>
        <a:prstGeom prst="roundRect">
          <a:avLst>
            <a:gd name="adj" fmla="val 3034"/>
          </a:avLst>
        </a:prstGeom>
        <a:solidFill>
          <a:schemeClr val="bg2"/>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14</xdr:col>
      <xdr:colOff>595311</xdr:colOff>
      <xdr:row>6</xdr:row>
      <xdr:rowOff>59532</xdr:rowOff>
    </xdr:from>
    <xdr:to>
      <xdr:col>20</xdr:col>
      <xdr:colOff>542926</xdr:colOff>
      <xdr:row>21</xdr:row>
      <xdr:rowOff>92870</xdr:rowOff>
    </xdr:to>
    <xdr:sp macro="" textlink="">
      <xdr:nvSpPr>
        <xdr:cNvPr id="12" name="Rectangle: Rounded Corners 11">
          <a:extLst>
            <a:ext uri="{FF2B5EF4-FFF2-40B4-BE49-F238E27FC236}">
              <a16:creationId xmlns:a16="http://schemas.microsoft.com/office/drawing/2014/main" id="{E0C75ED4-F19E-48C1-BCBB-C5C4991B3E58}"/>
            </a:ext>
          </a:extLst>
        </xdr:cNvPr>
        <xdr:cNvSpPr/>
      </xdr:nvSpPr>
      <xdr:spPr>
        <a:xfrm>
          <a:off x="9096374" y="1202532"/>
          <a:ext cx="3590927" cy="2890838"/>
        </a:xfrm>
        <a:prstGeom prst="roundRect">
          <a:avLst>
            <a:gd name="adj" fmla="val 1261"/>
          </a:avLst>
        </a:prstGeom>
        <a:solidFill>
          <a:schemeClr val="bg2"/>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15</xdr:col>
      <xdr:colOff>1</xdr:colOff>
      <xdr:row>21</xdr:row>
      <xdr:rowOff>152400</xdr:rowOff>
    </xdr:from>
    <xdr:to>
      <xdr:col>20</xdr:col>
      <xdr:colOff>564357</xdr:colOff>
      <xdr:row>36</xdr:row>
      <xdr:rowOff>185738</xdr:rowOff>
    </xdr:to>
    <xdr:sp macro="" textlink="">
      <xdr:nvSpPr>
        <xdr:cNvPr id="13" name="Rectangle: Rounded Corners 12">
          <a:extLst>
            <a:ext uri="{FF2B5EF4-FFF2-40B4-BE49-F238E27FC236}">
              <a16:creationId xmlns:a16="http://schemas.microsoft.com/office/drawing/2014/main" id="{865316E0-249F-4072-AFAA-99846F4D681F}"/>
            </a:ext>
          </a:extLst>
        </xdr:cNvPr>
        <xdr:cNvSpPr/>
      </xdr:nvSpPr>
      <xdr:spPr>
        <a:xfrm>
          <a:off x="9108282" y="4152900"/>
          <a:ext cx="3600450" cy="2890838"/>
        </a:xfrm>
        <a:prstGeom prst="roundRect">
          <a:avLst>
            <a:gd name="adj" fmla="val 2497"/>
          </a:avLst>
        </a:prstGeom>
        <a:solidFill>
          <a:schemeClr val="bg2"/>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KE" sz="1100"/>
        </a:p>
      </xdr:txBody>
    </xdr:sp>
    <xdr:clientData/>
  </xdr:twoCellAnchor>
  <xdr:twoCellAnchor>
    <xdr:from>
      <xdr:col>6</xdr:col>
      <xdr:colOff>166686</xdr:colOff>
      <xdr:row>1</xdr:row>
      <xdr:rowOff>35719</xdr:rowOff>
    </xdr:from>
    <xdr:to>
      <xdr:col>20</xdr:col>
      <xdr:colOff>190499</xdr:colOff>
      <xdr:row>4</xdr:row>
      <xdr:rowOff>59532</xdr:rowOff>
    </xdr:to>
    <xdr:sp macro="" textlink="">
      <xdr:nvSpPr>
        <xdr:cNvPr id="14" name="TextBox 13">
          <a:extLst>
            <a:ext uri="{FF2B5EF4-FFF2-40B4-BE49-F238E27FC236}">
              <a16:creationId xmlns:a16="http://schemas.microsoft.com/office/drawing/2014/main" id="{F952044C-DBD0-4AC8-A19B-53F6B1F9DA58}"/>
            </a:ext>
          </a:extLst>
        </xdr:cNvPr>
        <xdr:cNvSpPr txBox="1"/>
      </xdr:nvSpPr>
      <xdr:spPr>
        <a:xfrm>
          <a:off x="3809999" y="226219"/>
          <a:ext cx="8524875" cy="595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000">
              <a:solidFill>
                <a:srgbClr val="00B0F0"/>
              </a:solidFill>
            </a:rPr>
            <a:t>TEST SALES</a:t>
          </a:r>
          <a:r>
            <a:rPr lang="en-US" sz="4000" baseline="0">
              <a:solidFill>
                <a:srgbClr val="00B0F0"/>
              </a:solidFill>
            </a:rPr>
            <a:t> DATA DASHBOARD</a:t>
          </a:r>
          <a:endParaRPr lang="en-KE" sz="4000">
            <a:solidFill>
              <a:srgbClr val="00B0F0"/>
            </a:solidFill>
          </a:endParaRPr>
        </a:p>
      </xdr:txBody>
    </xdr:sp>
    <xdr:clientData/>
  </xdr:twoCellAnchor>
  <xdr:twoCellAnchor>
    <xdr:from>
      <xdr:col>3</xdr:col>
      <xdr:colOff>306917</xdr:colOff>
      <xdr:row>7</xdr:row>
      <xdr:rowOff>79376</xdr:rowOff>
    </xdr:from>
    <xdr:to>
      <xdr:col>8</xdr:col>
      <xdr:colOff>455083</xdr:colOff>
      <xdr:row>9</xdr:row>
      <xdr:rowOff>137584</xdr:rowOff>
    </xdr:to>
    <xdr:sp macro="" textlink="Data!K2">
      <xdr:nvSpPr>
        <xdr:cNvPr id="15" name="TextBox 14">
          <a:extLst>
            <a:ext uri="{FF2B5EF4-FFF2-40B4-BE49-F238E27FC236}">
              <a16:creationId xmlns:a16="http://schemas.microsoft.com/office/drawing/2014/main" id="{D24F4E31-966F-43A0-8756-F3FDEFE524B8}"/>
            </a:ext>
          </a:extLst>
        </xdr:cNvPr>
        <xdr:cNvSpPr txBox="1"/>
      </xdr:nvSpPr>
      <xdr:spPr>
        <a:xfrm>
          <a:off x="2148417" y="1412876"/>
          <a:ext cx="3217333" cy="439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0" u="none" strike="noStrike">
              <a:solidFill>
                <a:srgbClr val="00B0F0"/>
              </a:solidFill>
              <a:latin typeface="Calibri"/>
              <a:cs typeface="Calibri"/>
            </a:rPr>
            <a:t>TOTAL SALES =</a:t>
          </a:r>
          <a:r>
            <a:rPr lang="en-US" sz="1800" b="1" i="0" u="none" strike="noStrike" baseline="0">
              <a:solidFill>
                <a:srgbClr val="00B0F0"/>
              </a:solidFill>
              <a:latin typeface="Calibri"/>
              <a:cs typeface="Calibri"/>
            </a:rPr>
            <a:t> </a:t>
          </a:r>
          <a:fld id="{1BCB0068-4A52-47D3-A7D7-6B52C0072579}" type="TxLink">
            <a:rPr lang="en-US" sz="1800" b="1" i="0" u="none" strike="noStrike">
              <a:solidFill>
                <a:srgbClr val="00B0F0"/>
              </a:solidFill>
              <a:latin typeface="Calibri"/>
              <a:cs typeface="Calibri"/>
            </a:rPr>
            <a:pPr/>
            <a:t>Ksh52,993,482</a:t>
          </a:fld>
          <a:endParaRPr lang="en-KE" sz="1800" b="1">
            <a:solidFill>
              <a:srgbClr val="00B0F0"/>
            </a:solidFill>
          </a:endParaRPr>
        </a:p>
      </xdr:txBody>
    </xdr:sp>
    <xdr:clientData/>
  </xdr:twoCellAnchor>
  <xdr:twoCellAnchor>
    <xdr:from>
      <xdr:col>4</xdr:col>
      <xdr:colOff>11907</xdr:colOff>
      <xdr:row>11</xdr:row>
      <xdr:rowOff>47624</xdr:rowOff>
    </xdr:from>
    <xdr:to>
      <xdr:col>8</xdr:col>
      <xdr:colOff>47625</xdr:colOff>
      <xdr:row>13</xdr:row>
      <xdr:rowOff>107155</xdr:rowOff>
    </xdr:to>
    <xdr:sp macro="" textlink="">
      <xdr:nvSpPr>
        <xdr:cNvPr id="16" name="TextBox 15">
          <a:extLst>
            <a:ext uri="{FF2B5EF4-FFF2-40B4-BE49-F238E27FC236}">
              <a16:creationId xmlns:a16="http://schemas.microsoft.com/office/drawing/2014/main" id="{5099F941-080C-4A1A-A9E7-5E4C58B3E445}"/>
            </a:ext>
          </a:extLst>
        </xdr:cNvPr>
        <xdr:cNvSpPr txBox="1"/>
      </xdr:nvSpPr>
      <xdr:spPr>
        <a:xfrm>
          <a:off x="2440782" y="2143124"/>
          <a:ext cx="2464593" cy="440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rgbClr val="00B0F0"/>
              </a:solidFill>
            </a:rPr>
            <a:t>Products by Units</a:t>
          </a:r>
          <a:r>
            <a:rPr lang="en-US" sz="1800" baseline="0">
              <a:solidFill>
                <a:srgbClr val="00B0F0"/>
              </a:solidFill>
            </a:rPr>
            <a:t> Sold</a:t>
          </a:r>
          <a:endParaRPr lang="en-KE" sz="1800">
            <a:solidFill>
              <a:srgbClr val="00B0F0"/>
            </a:solidFill>
          </a:endParaRPr>
        </a:p>
      </xdr:txBody>
    </xdr:sp>
    <xdr:clientData/>
  </xdr:twoCellAnchor>
  <xdr:twoCellAnchor>
    <xdr:from>
      <xdr:col>3</xdr:col>
      <xdr:colOff>345282</xdr:colOff>
      <xdr:row>13</xdr:row>
      <xdr:rowOff>71438</xdr:rowOff>
    </xdr:from>
    <xdr:to>
      <xdr:col>8</xdr:col>
      <xdr:colOff>297657</xdr:colOff>
      <xdr:row>36</xdr:row>
      <xdr:rowOff>142875</xdr:rowOff>
    </xdr:to>
    <xdr:graphicFrame macro="">
      <xdr:nvGraphicFramePr>
        <xdr:cNvPr id="17" name="Chart 3">
          <a:extLst>
            <a:ext uri="{FF2B5EF4-FFF2-40B4-BE49-F238E27FC236}">
              <a16:creationId xmlns:a16="http://schemas.microsoft.com/office/drawing/2014/main" id="{1D1D91A5-5FD3-48FF-A7C5-596595BF94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464344</xdr:colOff>
      <xdr:row>8</xdr:row>
      <xdr:rowOff>95250</xdr:rowOff>
    </xdr:from>
    <xdr:to>
      <xdr:col>14</xdr:col>
      <xdr:colOff>535781</xdr:colOff>
      <xdr:row>21</xdr:row>
      <xdr:rowOff>83344</xdr:rowOff>
    </xdr:to>
    <xdr:graphicFrame macro="">
      <xdr:nvGraphicFramePr>
        <xdr:cNvPr id="18" name="Chart 4">
          <a:extLst>
            <a:ext uri="{FF2B5EF4-FFF2-40B4-BE49-F238E27FC236}">
              <a16:creationId xmlns:a16="http://schemas.microsoft.com/office/drawing/2014/main" id="{84D7F21D-B5CF-4400-83E1-8E4841951D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154781</xdr:colOff>
      <xdr:row>6</xdr:row>
      <xdr:rowOff>142875</xdr:rowOff>
    </xdr:from>
    <xdr:to>
      <xdr:col>14</xdr:col>
      <xdr:colOff>440531</xdr:colOff>
      <xdr:row>8</xdr:row>
      <xdr:rowOff>107156</xdr:rowOff>
    </xdr:to>
    <xdr:sp macro="" textlink="">
      <xdr:nvSpPr>
        <xdr:cNvPr id="19" name="TextBox 18">
          <a:extLst>
            <a:ext uri="{FF2B5EF4-FFF2-40B4-BE49-F238E27FC236}">
              <a16:creationId xmlns:a16="http://schemas.microsoft.com/office/drawing/2014/main" id="{992E4F12-1BFE-4F41-B1AC-F208B0AE115F}"/>
            </a:ext>
          </a:extLst>
        </xdr:cNvPr>
        <xdr:cNvSpPr txBox="1"/>
      </xdr:nvSpPr>
      <xdr:spPr>
        <a:xfrm>
          <a:off x="5619750" y="1285875"/>
          <a:ext cx="3321844" cy="3452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r>
            <a:rPr lang="en-US" sz="1800">
              <a:solidFill>
                <a:srgbClr val="00B0F0"/>
              </a:solidFill>
            </a:rPr>
            <a:t>Sales</a:t>
          </a:r>
          <a:r>
            <a:rPr lang="en-US" sz="1800" baseline="0">
              <a:solidFill>
                <a:srgbClr val="00B0F0"/>
              </a:solidFill>
            </a:rPr>
            <a:t> person </a:t>
          </a:r>
          <a:r>
            <a:rPr lang="en-US" sz="1800">
              <a:solidFill>
                <a:srgbClr val="00B0F0"/>
              </a:solidFill>
            </a:rPr>
            <a:t>by Units Sold</a:t>
          </a:r>
          <a:endParaRPr lang="en-KE" sz="1800">
            <a:solidFill>
              <a:srgbClr val="00B0F0"/>
            </a:solidFill>
          </a:endParaRPr>
        </a:p>
      </xdr:txBody>
    </xdr:sp>
    <xdr:clientData/>
  </xdr:twoCellAnchor>
  <xdr:twoCellAnchor>
    <xdr:from>
      <xdr:col>9</xdr:col>
      <xdr:colOff>511968</xdr:colOff>
      <xdr:row>22</xdr:row>
      <xdr:rowOff>0</xdr:rowOff>
    </xdr:from>
    <xdr:to>
      <xdr:col>13</xdr:col>
      <xdr:colOff>511968</xdr:colOff>
      <xdr:row>23</xdr:row>
      <xdr:rowOff>142875</xdr:rowOff>
    </xdr:to>
    <xdr:sp macro="" textlink="">
      <xdr:nvSpPr>
        <xdr:cNvPr id="20" name="TextBox 19">
          <a:extLst>
            <a:ext uri="{FF2B5EF4-FFF2-40B4-BE49-F238E27FC236}">
              <a16:creationId xmlns:a16="http://schemas.microsoft.com/office/drawing/2014/main" id="{6B19B45B-9C61-4EC4-917B-A7B9EB725B9A}"/>
            </a:ext>
          </a:extLst>
        </xdr:cNvPr>
        <xdr:cNvSpPr txBox="1"/>
      </xdr:nvSpPr>
      <xdr:spPr>
        <a:xfrm>
          <a:off x="5976937" y="4191000"/>
          <a:ext cx="242887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rgbClr val="00B0F0"/>
              </a:solidFill>
            </a:rPr>
            <a:t>Weekday by Units Sold</a:t>
          </a:r>
          <a:endParaRPr lang="en-KE" sz="1800">
            <a:solidFill>
              <a:srgbClr val="00B0F0"/>
            </a:solidFill>
          </a:endParaRPr>
        </a:p>
      </xdr:txBody>
    </xdr:sp>
    <xdr:clientData/>
  </xdr:twoCellAnchor>
  <xdr:twoCellAnchor>
    <xdr:from>
      <xdr:col>8</xdr:col>
      <xdr:colOff>476251</xdr:colOff>
      <xdr:row>23</xdr:row>
      <xdr:rowOff>107155</xdr:rowOff>
    </xdr:from>
    <xdr:to>
      <xdr:col>14</xdr:col>
      <xdr:colOff>511969</xdr:colOff>
      <xdr:row>36</xdr:row>
      <xdr:rowOff>154780</xdr:rowOff>
    </xdr:to>
    <xdr:graphicFrame macro="">
      <xdr:nvGraphicFramePr>
        <xdr:cNvPr id="21" name="Chart 5">
          <a:extLst>
            <a:ext uri="{FF2B5EF4-FFF2-40B4-BE49-F238E27FC236}">
              <a16:creationId xmlns:a16="http://schemas.microsoft.com/office/drawing/2014/main" id="{E5DD0D9D-17C9-4B63-A650-CF39DA13CE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238124</xdr:colOff>
      <xdr:row>6</xdr:row>
      <xdr:rowOff>107156</xdr:rowOff>
    </xdr:from>
    <xdr:to>
      <xdr:col>19</xdr:col>
      <xdr:colOff>559593</xdr:colOff>
      <xdr:row>8</xdr:row>
      <xdr:rowOff>23813</xdr:rowOff>
    </xdr:to>
    <xdr:sp macro="" textlink="">
      <xdr:nvSpPr>
        <xdr:cNvPr id="22" name="TextBox 21">
          <a:extLst>
            <a:ext uri="{FF2B5EF4-FFF2-40B4-BE49-F238E27FC236}">
              <a16:creationId xmlns:a16="http://schemas.microsoft.com/office/drawing/2014/main" id="{8783F954-7A4D-4E2B-B86D-CF0DDAB2F404}"/>
            </a:ext>
          </a:extLst>
        </xdr:cNvPr>
        <xdr:cNvSpPr txBox="1"/>
      </xdr:nvSpPr>
      <xdr:spPr>
        <a:xfrm>
          <a:off x="9953624" y="1250156"/>
          <a:ext cx="2143125" cy="29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rgbClr val="00B0F0"/>
              </a:solidFill>
            </a:rPr>
            <a:t>Month by units sold</a:t>
          </a:r>
          <a:endParaRPr lang="en-KE" sz="1800">
            <a:solidFill>
              <a:srgbClr val="00B0F0"/>
            </a:solidFill>
          </a:endParaRPr>
        </a:p>
      </xdr:txBody>
    </xdr:sp>
    <xdr:clientData/>
  </xdr:twoCellAnchor>
  <xdr:twoCellAnchor>
    <xdr:from>
      <xdr:col>16</xdr:col>
      <xdr:colOff>238124</xdr:colOff>
      <xdr:row>22</xdr:row>
      <xdr:rowOff>35719</xdr:rowOff>
    </xdr:from>
    <xdr:to>
      <xdr:col>19</xdr:col>
      <xdr:colOff>476249</xdr:colOff>
      <xdr:row>23</xdr:row>
      <xdr:rowOff>154782</xdr:rowOff>
    </xdr:to>
    <xdr:sp macro="" textlink="">
      <xdr:nvSpPr>
        <xdr:cNvPr id="23" name="TextBox 22">
          <a:extLst>
            <a:ext uri="{FF2B5EF4-FFF2-40B4-BE49-F238E27FC236}">
              <a16:creationId xmlns:a16="http://schemas.microsoft.com/office/drawing/2014/main" id="{3F682B10-1E11-4B3A-A9E8-C38EE51F2440}"/>
            </a:ext>
          </a:extLst>
        </xdr:cNvPr>
        <xdr:cNvSpPr txBox="1"/>
      </xdr:nvSpPr>
      <xdr:spPr>
        <a:xfrm>
          <a:off x="9953624" y="4226719"/>
          <a:ext cx="2059781" cy="3095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rgbClr val="00B0F0"/>
              </a:solidFill>
            </a:rPr>
            <a:t>Region by units sold</a:t>
          </a:r>
          <a:endParaRPr lang="en-KE" sz="1800">
            <a:solidFill>
              <a:srgbClr val="00B0F0"/>
            </a:solidFill>
          </a:endParaRPr>
        </a:p>
      </xdr:txBody>
    </xdr:sp>
    <xdr:clientData/>
  </xdr:twoCellAnchor>
  <xdr:twoCellAnchor>
    <xdr:from>
      <xdr:col>15</xdr:col>
      <xdr:colOff>35718</xdr:colOff>
      <xdr:row>8</xdr:row>
      <xdr:rowOff>107156</xdr:rowOff>
    </xdr:from>
    <xdr:to>
      <xdr:col>20</xdr:col>
      <xdr:colOff>500063</xdr:colOff>
      <xdr:row>21</xdr:row>
      <xdr:rowOff>35718</xdr:rowOff>
    </xdr:to>
    <xdr:graphicFrame macro="">
      <xdr:nvGraphicFramePr>
        <xdr:cNvPr id="24" name="Chart 6">
          <a:extLst>
            <a:ext uri="{FF2B5EF4-FFF2-40B4-BE49-F238E27FC236}">
              <a16:creationId xmlns:a16="http://schemas.microsoft.com/office/drawing/2014/main" id="{95C43417-9F7E-4A71-A64B-76114375AE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107156</xdr:colOff>
      <xdr:row>24</xdr:row>
      <xdr:rowOff>0</xdr:rowOff>
    </xdr:from>
    <xdr:to>
      <xdr:col>20</xdr:col>
      <xdr:colOff>476251</xdr:colOff>
      <xdr:row>36</xdr:row>
      <xdr:rowOff>47625</xdr:rowOff>
    </xdr:to>
    <xdr:graphicFrame macro="">
      <xdr:nvGraphicFramePr>
        <xdr:cNvPr id="25" name="Chart 7">
          <a:extLst>
            <a:ext uri="{FF2B5EF4-FFF2-40B4-BE49-F238E27FC236}">
              <a16:creationId xmlns:a16="http://schemas.microsoft.com/office/drawing/2014/main" id="{3A9DCECA-0B74-435A-BAA0-F7D8E9983C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83344</xdr:colOff>
      <xdr:row>0</xdr:row>
      <xdr:rowOff>107157</xdr:rowOff>
    </xdr:from>
    <xdr:to>
      <xdr:col>3</xdr:col>
      <xdr:colOff>202405</xdr:colOff>
      <xdr:row>12</xdr:row>
      <xdr:rowOff>0</xdr:rowOff>
    </xdr:to>
    <mc:AlternateContent xmlns:mc="http://schemas.openxmlformats.org/markup-compatibility/2006" xmlns:a14="http://schemas.microsoft.com/office/drawing/2010/main">
      <mc:Choice Requires="a14">
        <xdr:graphicFrame macro="">
          <xdr:nvGraphicFramePr>
            <xdr:cNvPr id="27" name="Region">
              <a:extLst>
                <a:ext uri="{FF2B5EF4-FFF2-40B4-BE49-F238E27FC236}">
                  <a16:creationId xmlns:a16="http://schemas.microsoft.com/office/drawing/2014/main" id="{484C3AFF-80BD-429F-BBF6-D729F90CBF7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83344" y="107157"/>
              <a:ext cx="1960561" cy="2178843"/>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71438</xdr:colOff>
      <xdr:row>12</xdr:row>
      <xdr:rowOff>95249</xdr:rowOff>
    </xdr:from>
    <xdr:to>
      <xdr:col>3</xdr:col>
      <xdr:colOff>178594</xdr:colOff>
      <xdr:row>24</xdr:row>
      <xdr:rowOff>23812</xdr:rowOff>
    </xdr:to>
    <mc:AlternateContent xmlns:mc="http://schemas.openxmlformats.org/markup-compatibility/2006" xmlns:a14="http://schemas.microsoft.com/office/drawing/2010/main">
      <mc:Choice Requires="a14">
        <xdr:graphicFrame macro="">
          <xdr:nvGraphicFramePr>
            <xdr:cNvPr id="30" name="Product">
              <a:extLst>
                <a:ext uri="{FF2B5EF4-FFF2-40B4-BE49-F238E27FC236}">
                  <a16:creationId xmlns:a16="http://schemas.microsoft.com/office/drawing/2014/main" id="{B9402435-1AD9-4531-8EB0-34E9363D7F77}"/>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71438" y="2381249"/>
              <a:ext cx="1948656" cy="2214563"/>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95250</xdr:colOff>
      <xdr:row>24</xdr:row>
      <xdr:rowOff>107156</xdr:rowOff>
    </xdr:from>
    <xdr:to>
      <xdr:col>3</xdr:col>
      <xdr:colOff>154781</xdr:colOff>
      <xdr:row>36</xdr:row>
      <xdr:rowOff>130969</xdr:rowOff>
    </xdr:to>
    <mc:AlternateContent xmlns:mc="http://schemas.openxmlformats.org/markup-compatibility/2006" xmlns:a14="http://schemas.microsoft.com/office/drawing/2010/main">
      <mc:Choice Requires="a14">
        <xdr:graphicFrame macro="">
          <xdr:nvGraphicFramePr>
            <xdr:cNvPr id="32" name="Month">
              <a:extLst>
                <a:ext uri="{FF2B5EF4-FFF2-40B4-BE49-F238E27FC236}">
                  <a16:creationId xmlns:a16="http://schemas.microsoft.com/office/drawing/2014/main" id="{85BB48F2-8ACB-432F-A883-9F9606C1F11F}"/>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95250" y="4679156"/>
              <a:ext cx="1901031" cy="2309813"/>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N1" refreshedDate="45901.998040162034" createdVersion="7" refreshedVersion="7" minRefreshableVersion="3" recordCount="100" xr:uid="{B9282CB5-1BC6-4421-9558-5155C04F87B2}">
  <cacheSource type="worksheet">
    <worksheetSource ref="A1:J101" sheet="Data"/>
  </cacheSource>
  <cacheFields count="10">
    <cacheField name="Date" numFmtId="164">
      <sharedItems containsSemiMixedTypes="0" containsNonDate="0" containsDate="1" containsString="0" minDate="2025-01-01T00:00:00" maxDate="2025-04-11T00:00:00"/>
    </cacheField>
    <cacheField name="Region" numFmtId="0">
      <sharedItems count="4">
        <s v="Kisumu"/>
        <s v="Eldoret"/>
        <s v="Nairobi"/>
        <s v="Mombasa"/>
      </sharedItems>
    </cacheField>
    <cacheField name="Product" numFmtId="0">
      <sharedItems count="4">
        <s v="Tablet"/>
        <s v="Phone"/>
        <s v="Monitor"/>
        <s v="Laptop"/>
      </sharedItems>
    </cacheField>
    <cacheField name="Salesperson" numFmtId="0">
      <sharedItems count="4">
        <s v="Clare"/>
        <s v="David"/>
        <s v="Alice"/>
        <s v="Brian"/>
      </sharedItems>
    </cacheField>
    <cacheField name="Units Sold" numFmtId="0">
      <sharedItems containsSemiMixedTypes="0" containsString="0" containsNumber="1" containsInteger="1" minValue="1" maxValue="19"/>
    </cacheField>
    <cacheField name="Unit Price" numFmtId="0">
      <sharedItems containsSemiMixedTypes="0" containsString="0" containsNumber="1" containsInteger="1" minValue="10301" maxValue="99912"/>
    </cacheField>
    <cacheField name="Total Sales" numFmtId="0">
      <sharedItems containsSemiMixedTypes="0" containsString="0" containsNumber="1" containsInteger="1" minValue="15801" maxValue="1853355" count="100">
        <n v="83744"/>
        <n v="66491"/>
        <n v="543191"/>
        <n v="106968"/>
        <n v="1115868"/>
        <n v="277272"/>
        <n v="214100"/>
        <n v="629222"/>
        <n v="724795"/>
        <n v="439248"/>
        <n v="219140"/>
        <n v="57422"/>
        <n v="80520"/>
        <n v="113311"/>
        <n v="883776"/>
        <n v="1219760"/>
        <n v="64240"/>
        <n v="681534"/>
        <n v="122952"/>
        <n v="257632"/>
        <n v="181008"/>
        <n v="381256"/>
        <n v="696179"/>
        <n v="133752"/>
        <n v="812155"/>
        <n v="231651"/>
        <n v="684945"/>
        <n v="61885"/>
        <n v="373048"/>
        <n v="580937"/>
        <n v="252252"/>
        <n v="168744"/>
        <n v="28070"/>
        <n v="503547"/>
        <n v="1205244"/>
        <n v="920740"/>
        <n v="62187"/>
        <n v="385119"/>
        <n v="1221120"/>
        <n v="604016"/>
        <n v="1497173"/>
        <n v="129496"/>
        <n v="15801"/>
        <n v="467040"/>
        <n v="716268"/>
        <n v="304965"/>
        <n v="197960"/>
        <n v="185823"/>
        <n v="168444"/>
        <n v="296673"/>
        <n v="1853355"/>
        <n v="1598592"/>
        <n v="1285056"/>
        <n v="37104"/>
        <n v="87575"/>
        <n v="183205"/>
        <n v="1360527"/>
        <n v="691432"/>
        <n v="391688"/>
        <n v="394596"/>
        <n v="187224"/>
        <n v="126291"/>
        <n v="1418512"/>
        <n v="62898"/>
        <n v="1132578"/>
        <n v="836164"/>
        <n v="1085400"/>
        <n v="65354"/>
        <n v="196827"/>
        <n v="1066576"/>
        <n v="369216"/>
        <n v="321252"/>
        <n v="63006"/>
        <n v="101352"/>
        <n v="78027"/>
        <n v="1261890"/>
        <n v="472128"/>
        <n v="104408"/>
        <n v="411229"/>
        <n v="291426"/>
        <n v="1652995"/>
        <n v="64021"/>
        <n v="1222592"/>
        <n v="820020"/>
        <n v="1257401"/>
        <n v="589302"/>
        <n v="478068"/>
        <n v="544428"/>
        <n v="646542"/>
        <n v="1569685"/>
        <n v="668184"/>
        <n v="54038"/>
        <n v="93613"/>
        <n v="1450080"/>
        <n v="83847"/>
        <n v="463750"/>
        <n v="1434144"/>
        <n v="726769"/>
        <n v="143780"/>
        <n v="126651"/>
      </sharedItems>
    </cacheField>
    <cacheField name="Year" numFmtId="0">
      <sharedItems containsSemiMixedTypes="0" containsString="0" containsNumber="1" containsInteger="1" minValue="2025" maxValue="2025" count="1">
        <n v="2025"/>
      </sharedItems>
    </cacheField>
    <cacheField name="Month" numFmtId="0">
      <sharedItems count="4">
        <s v="Jan"/>
        <s v="Feb"/>
        <s v="Mar"/>
        <s v="Apr"/>
      </sharedItems>
    </cacheField>
    <cacheField name="Weekday" numFmtId="0">
      <sharedItems count="7">
        <s v="Wed"/>
        <s v="Thu"/>
        <s v="Fri"/>
        <s v="Sat"/>
        <s v="Sun"/>
        <s v="Mon"/>
        <s v="Tue"/>
      </sharedItems>
    </cacheField>
  </cacheFields>
  <extLst>
    <ext xmlns:x14="http://schemas.microsoft.com/office/spreadsheetml/2009/9/main" uri="{725AE2AE-9491-48be-B2B4-4EB974FC3084}">
      <x14:pivotCacheDefinition pivotCacheId="142970918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d v="2025-01-01T00:00:00"/>
    <x v="0"/>
    <x v="0"/>
    <x v="0"/>
    <n v="1"/>
    <n v="83744"/>
    <x v="0"/>
    <x v="0"/>
    <x v="0"/>
    <x v="0"/>
  </r>
  <r>
    <d v="2025-01-02T00:00:00"/>
    <x v="1"/>
    <x v="1"/>
    <x v="1"/>
    <n v="1"/>
    <n v="66491"/>
    <x v="1"/>
    <x v="0"/>
    <x v="0"/>
    <x v="1"/>
  </r>
  <r>
    <d v="2025-01-03T00:00:00"/>
    <x v="2"/>
    <x v="1"/>
    <x v="0"/>
    <n v="19"/>
    <n v="28589"/>
    <x v="2"/>
    <x v="0"/>
    <x v="0"/>
    <x v="2"/>
  </r>
  <r>
    <d v="2025-01-04T00:00:00"/>
    <x v="0"/>
    <x v="2"/>
    <x v="2"/>
    <n v="2"/>
    <n v="53484"/>
    <x v="3"/>
    <x v="0"/>
    <x v="0"/>
    <x v="3"/>
  </r>
  <r>
    <d v="2025-01-05T00:00:00"/>
    <x v="0"/>
    <x v="1"/>
    <x v="1"/>
    <n v="12"/>
    <n v="92989"/>
    <x v="4"/>
    <x v="0"/>
    <x v="0"/>
    <x v="4"/>
  </r>
  <r>
    <d v="2025-01-06T00:00:00"/>
    <x v="1"/>
    <x v="1"/>
    <x v="2"/>
    <n v="6"/>
    <n v="46212"/>
    <x v="5"/>
    <x v="0"/>
    <x v="0"/>
    <x v="5"/>
  </r>
  <r>
    <d v="2025-01-07T00:00:00"/>
    <x v="2"/>
    <x v="1"/>
    <x v="1"/>
    <n v="4"/>
    <n v="53525"/>
    <x v="6"/>
    <x v="0"/>
    <x v="0"/>
    <x v="6"/>
  </r>
  <r>
    <d v="2025-01-08T00:00:00"/>
    <x v="2"/>
    <x v="2"/>
    <x v="1"/>
    <n v="11"/>
    <n v="57202"/>
    <x v="7"/>
    <x v="0"/>
    <x v="0"/>
    <x v="0"/>
  </r>
  <r>
    <d v="2025-01-09T00:00:00"/>
    <x v="0"/>
    <x v="1"/>
    <x v="3"/>
    <n v="17"/>
    <n v="42635"/>
    <x v="8"/>
    <x v="0"/>
    <x v="0"/>
    <x v="1"/>
  </r>
  <r>
    <d v="2025-01-10T00:00:00"/>
    <x v="3"/>
    <x v="0"/>
    <x v="2"/>
    <n v="6"/>
    <n v="73208"/>
    <x v="9"/>
    <x v="0"/>
    <x v="0"/>
    <x v="2"/>
  </r>
  <r>
    <d v="2025-01-11T00:00:00"/>
    <x v="0"/>
    <x v="2"/>
    <x v="0"/>
    <n v="5"/>
    <n v="43828"/>
    <x v="10"/>
    <x v="0"/>
    <x v="0"/>
    <x v="3"/>
  </r>
  <r>
    <d v="2025-01-12T00:00:00"/>
    <x v="0"/>
    <x v="0"/>
    <x v="0"/>
    <n v="2"/>
    <n v="28711"/>
    <x v="11"/>
    <x v="0"/>
    <x v="0"/>
    <x v="4"/>
  </r>
  <r>
    <d v="2025-01-13T00:00:00"/>
    <x v="0"/>
    <x v="2"/>
    <x v="2"/>
    <n v="6"/>
    <n v="13420"/>
    <x v="12"/>
    <x v="0"/>
    <x v="0"/>
    <x v="5"/>
  </r>
  <r>
    <d v="2025-01-14T00:00:00"/>
    <x v="0"/>
    <x v="1"/>
    <x v="0"/>
    <n v="11"/>
    <n v="10301"/>
    <x v="13"/>
    <x v="0"/>
    <x v="0"/>
    <x v="6"/>
  </r>
  <r>
    <d v="2025-01-15T00:00:00"/>
    <x v="1"/>
    <x v="0"/>
    <x v="0"/>
    <n v="16"/>
    <n v="55236"/>
    <x v="14"/>
    <x v="0"/>
    <x v="0"/>
    <x v="0"/>
  </r>
  <r>
    <d v="2025-01-16T00:00:00"/>
    <x v="2"/>
    <x v="2"/>
    <x v="2"/>
    <n v="16"/>
    <n v="76235"/>
    <x v="15"/>
    <x v="0"/>
    <x v="0"/>
    <x v="1"/>
  </r>
  <r>
    <d v="2025-01-17T00:00:00"/>
    <x v="1"/>
    <x v="3"/>
    <x v="1"/>
    <n v="1"/>
    <n v="64240"/>
    <x v="16"/>
    <x v="0"/>
    <x v="0"/>
    <x v="2"/>
  </r>
  <r>
    <d v="2025-01-18T00:00:00"/>
    <x v="1"/>
    <x v="1"/>
    <x v="2"/>
    <n v="9"/>
    <n v="75726"/>
    <x v="17"/>
    <x v="0"/>
    <x v="0"/>
    <x v="3"/>
  </r>
  <r>
    <d v="2025-01-19T00:00:00"/>
    <x v="1"/>
    <x v="2"/>
    <x v="1"/>
    <n v="6"/>
    <n v="20492"/>
    <x v="18"/>
    <x v="0"/>
    <x v="0"/>
    <x v="4"/>
  </r>
  <r>
    <d v="2025-01-20T00:00:00"/>
    <x v="0"/>
    <x v="3"/>
    <x v="0"/>
    <n v="16"/>
    <n v="16102"/>
    <x v="19"/>
    <x v="0"/>
    <x v="0"/>
    <x v="5"/>
  </r>
  <r>
    <d v="2025-01-21T00:00:00"/>
    <x v="3"/>
    <x v="2"/>
    <x v="0"/>
    <n v="3"/>
    <n v="60336"/>
    <x v="20"/>
    <x v="0"/>
    <x v="0"/>
    <x v="6"/>
  </r>
  <r>
    <d v="2025-01-22T00:00:00"/>
    <x v="2"/>
    <x v="3"/>
    <x v="0"/>
    <n v="4"/>
    <n v="95314"/>
    <x v="21"/>
    <x v="0"/>
    <x v="0"/>
    <x v="0"/>
  </r>
  <r>
    <d v="2025-01-23T00:00:00"/>
    <x v="3"/>
    <x v="1"/>
    <x v="3"/>
    <n v="19"/>
    <n v="36641"/>
    <x v="22"/>
    <x v="0"/>
    <x v="0"/>
    <x v="1"/>
  </r>
  <r>
    <d v="2025-01-24T00:00:00"/>
    <x v="1"/>
    <x v="0"/>
    <x v="1"/>
    <n v="3"/>
    <n v="44584"/>
    <x v="23"/>
    <x v="0"/>
    <x v="0"/>
    <x v="2"/>
  </r>
  <r>
    <d v="2025-01-25T00:00:00"/>
    <x v="1"/>
    <x v="3"/>
    <x v="3"/>
    <n v="19"/>
    <n v="42745"/>
    <x v="24"/>
    <x v="0"/>
    <x v="0"/>
    <x v="3"/>
  </r>
  <r>
    <d v="2025-01-26T00:00:00"/>
    <x v="3"/>
    <x v="2"/>
    <x v="3"/>
    <n v="7"/>
    <n v="33093"/>
    <x v="25"/>
    <x v="0"/>
    <x v="0"/>
    <x v="4"/>
  </r>
  <r>
    <d v="2025-01-27T00:00:00"/>
    <x v="3"/>
    <x v="1"/>
    <x v="2"/>
    <n v="9"/>
    <n v="76105"/>
    <x v="26"/>
    <x v="0"/>
    <x v="0"/>
    <x v="5"/>
  </r>
  <r>
    <d v="2025-01-28T00:00:00"/>
    <x v="3"/>
    <x v="3"/>
    <x v="3"/>
    <n v="1"/>
    <n v="61885"/>
    <x v="27"/>
    <x v="0"/>
    <x v="0"/>
    <x v="6"/>
  </r>
  <r>
    <d v="2025-01-29T00:00:00"/>
    <x v="1"/>
    <x v="2"/>
    <x v="2"/>
    <n v="8"/>
    <n v="46631"/>
    <x v="28"/>
    <x v="0"/>
    <x v="0"/>
    <x v="0"/>
  </r>
  <r>
    <d v="2025-01-30T00:00:00"/>
    <x v="1"/>
    <x v="2"/>
    <x v="2"/>
    <n v="7"/>
    <n v="82991"/>
    <x v="29"/>
    <x v="0"/>
    <x v="0"/>
    <x v="1"/>
  </r>
  <r>
    <d v="2025-01-31T00:00:00"/>
    <x v="2"/>
    <x v="2"/>
    <x v="3"/>
    <n v="18"/>
    <n v="14014"/>
    <x v="30"/>
    <x v="0"/>
    <x v="0"/>
    <x v="2"/>
  </r>
  <r>
    <d v="2025-02-01T00:00:00"/>
    <x v="2"/>
    <x v="3"/>
    <x v="1"/>
    <n v="8"/>
    <n v="21093"/>
    <x v="31"/>
    <x v="0"/>
    <x v="1"/>
    <x v="3"/>
  </r>
  <r>
    <d v="2025-02-02T00:00:00"/>
    <x v="1"/>
    <x v="3"/>
    <x v="1"/>
    <n v="1"/>
    <n v="28070"/>
    <x v="32"/>
    <x v="0"/>
    <x v="1"/>
    <x v="4"/>
  </r>
  <r>
    <d v="2025-02-03T00:00:00"/>
    <x v="3"/>
    <x v="3"/>
    <x v="1"/>
    <n v="11"/>
    <n v="45777"/>
    <x v="33"/>
    <x v="0"/>
    <x v="1"/>
    <x v="5"/>
  </r>
  <r>
    <d v="2025-02-04T00:00:00"/>
    <x v="3"/>
    <x v="0"/>
    <x v="1"/>
    <n v="18"/>
    <n v="66958"/>
    <x v="34"/>
    <x v="0"/>
    <x v="1"/>
    <x v="6"/>
  </r>
  <r>
    <d v="2025-02-05T00:00:00"/>
    <x v="2"/>
    <x v="3"/>
    <x v="1"/>
    <n v="10"/>
    <n v="92074"/>
    <x v="35"/>
    <x v="0"/>
    <x v="1"/>
    <x v="0"/>
  </r>
  <r>
    <d v="2025-02-06T00:00:00"/>
    <x v="1"/>
    <x v="3"/>
    <x v="3"/>
    <n v="3"/>
    <n v="20729"/>
    <x v="36"/>
    <x v="0"/>
    <x v="1"/>
    <x v="1"/>
  </r>
  <r>
    <d v="2025-02-07T00:00:00"/>
    <x v="2"/>
    <x v="3"/>
    <x v="3"/>
    <n v="7"/>
    <n v="55017"/>
    <x v="37"/>
    <x v="0"/>
    <x v="1"/>
    <x v="2"/>
  </r>
  <r>
    <d v="2025-02-08T00:00:00"/>
    <x v="2"/>
    <x v="0"/>
    <x v="0"/>
    <n v="16"/>
    <n v="76320"/>
    <x v="38"/>
    <x v="0"/>
    <x v="1"/>
    <x v="3"/>
  </r>
  <r>
    <d v="2025-02-09T00:00:00"/>
    <x v="0"/>
    <x v="3"/>
    <x v="1"/>
    <n v="16"/>
    <n v="37751"/>
    <x v="39"/>
    <x v="0"/>
    <x v="1"/>
    <x v="4"/>
  </r>
  <r>
    <d v="2025-02-10T00:00:00"/>
    <x v="0"/>
    <x v="2"/>
    <x v="3"/>
    <n v="17"/>
    <n v="88069"/>
    <x v="40"/>
    <x v="0"/>
    <x v="1"/>
    <x v="5"/>
  </r>
  <r>
    <d v="2025-02-11T00:00:00"/>
    <x v="0"/>
    <x v="3"/>
    <x v="0"/>
    <n v="2"/>
    <n v="64748"/>
    <x v="41"/>
    <x v="0"/>
    <x v="1"/>
    <x v="6"/>
  </r>
  <r>
    <d v="2025-02-12T00:00:00"/>
    <x v="3"/>
    <x v="2"/>
    <x v="1"/>
    <n v="1"/>
    <n v="15801"/>
    <x v="42"/>
    <x v="0"/>
    <x v="1"/>
    <x v="0"/>
  </r>
  <r>
    <d v="2025-02-13T00:00:00"/>
    <x v="1"/>
    <x v="2"/>
    <x v="2"/>
    <n v="16"/>
    <n v="29190"/>
    <x v="43"/>
    <x v="0"/>
    <x v="1"/>
    <x v="1"/>
  </r>
  <r>
    <d v="2025-02-14T00:00:00"/>
    <x v="1"/>
    <x v="2"/>
    <x v="0"/>
    <n v="12"/>
    <n v="59689"/>
    <x v="44"/>
    <x v="0"/>
    <x v="1"/>
    <x v="2"/>
  </r>
  <r>
    <d v="2025-02-15T00:00:00"/>
    <x v="1"/>
    <x v="0"/>
    <x v="3"/>
    <n v="5"/>
    <n v="60993"/>
    <x v="45"/>
    <x v="0"/>
    <x v="1"/>
    <x v="3"/>
  </r>
  <r>
    <d v="2025-02-16T00:00:00"/>
    <x v="1"/>
    <x v="0"/>
    <x v="2"/>
    <n v="5"/>
    <n v="39592"/>
    <x v="46"/>
    <x v="0"/>
    <x v="1"/>
    <x v="4"/>
  </r>
  <r>
    <d v="2025-02-17T00:00:00"/>
    <x v="0"/>
    <x v="0"/>
    <x v="2"/>
    <n v="9"/>
    <n v="20647"/>
    <x v="47"/>
    <x v="0"/>
    <x v="1"/>
    <x v="5"/>
  </r>
  <r>
    <d v="2025-02-18T00:00:00"/>
    <x v="3"/>
    <x v="3"/>
    <x v="2"/>
    <n v="9"/>
    <n v="18716"/>
    <x v="48"/>
    <x v="0"/>
    <x v="1"/>
    <x v="6"/>
  </r>
  <r>
    <d v="2025-02-19T00:00:00"/>
    <x v="3"/>
    <x v="2"/>
    <x v="0"/>
    <n v="3"/>
    <n v="98891"/>
    <x v="49"/>
    <x v="0"/>
    <x v="1"/>
    <x v="0"/>
  </r>
  <r>
    <d v="2025-02-20T00:00:00"/>
    <x v="0"/>
    <x v="0"/>
    <x v="3"/>
    <n v="19"/>
    <n v="97545"/>
    <x v="50"/>
    <x v="0"/>
    <x v="1"/>
    <x v="1"/>
  </r>
  <r>
    <d v="2025-02-21T00:00:00"/>
    <x v="3"/>
    <x v="0"/>
    <x v="2"/>
    <n v="16"/>
    <n v="99912"/>
    <x v="51"/>
    <x v="0"/>
    <x v="1"/>
    <x v="2"/>
  </r>
  <r>
    <d v="2025-02-22T00:00:00"/>
    <x v="0"/>
    <x v="3"/>
    <x v="1"/>
    <n v="16"/>
    <n v="80316"/>
    <x v="52"/>
    <x v="0"/>
    <x v="1"/>
    <x v="3"/>
  </r>
  <r>
    <d v="2025-02-23T00:00:00"/>
    <x v="1"/>
    <x v="0"/>
    <x v="2"/>
    <n v="3"/>
    <n v="12368"/>
    <x v="53"/>
    <x v="0"/>
    <x v="1"/>
    <x v="4"/>
  </r>
  <r>
    <d v="2025-02-24T00:00:00"/>
    <x v="0"/>
    <x v="3"/>
    <x v="2"/>
    <n v="1"/>
    <n v="87575"/>
    <x v="54"/>
    <x v="0"/>
    <x v="1"/>
    <x v="5"/>
  </r>
  <r>
    <d v="2025-02-25T00:00:00"/>
    <x v="1"/>
    <x v="1"/>
    <x v="0"/>
    <n v="11"/>
    <n v="16655"/>
    <x v="55"/>
    <x v="0"/>
    <x v="1"/>
    <x v="6"/>
  </r>
  <r>
    <d v="2025-02-26T00:00:00"/>
    <x v="1"/>
    <x v="0"/>
    <x v="0"/>
    <n v="17"/>
    <n v="80031"/>
    <x v="56"/>
    <x v="0"/>
    <x v="1"/>
    <x v="0"/>
  </r>
  <r>
    <d v="2025-02-27T00:00:00"/>
    <x v="2"/>
    <x v="1"/>
    <x v="3"/>
    <n v="8"/>
    <n v="86429"/>
    <x v="57"/>
    <x v="0"/>
    <x v="1"/>
    <x v="1"/>
  </r>
  <r>
    <d v="2025-02-28T00:00:00"/>
    <x v="0"/>
    <x v="3"/>
    <x v="1"/>
    <n v="4"/>
    <n v="97922"/>
    <x v="58"/>
    <x v="0"/>
    <x v="1"/>
    <x v="2"/>
  </r>
  <r>
    <d v="2025-03-01T00:00:00"/>
    <x v="2"/>
    <x v="2"/>
    <x v="0"/>
    <n v="6"/>
    <n v="65766"/>
    <x v="59"/>
    <x v="0"/>
    <x v="2"/>
    <x v="3"/>
  </r>
  <r>
    <d v="2025-03-02T00:00:00"/>
    <x v="0"/>
    <x v="0"/>
    <x v="2"/>
    <n v="8"/>
    <n v="23403"/>
    <x v="60"/>
    <x v="0"/>
    <x v="2"/>
    <x v="4"/>
  </r>
  <r>
    <d v="2025-03-03T00:00:00"/>
    <x v="0"/>
    <x v="3"/>
    <x v="3"/>
    <n v="3"/>
    <n v="42097"/>
    <x v="61"/>
    <x v="0"/>
    <x v="2"/>
    <x v="5"/>
  </r>
  <r>
    <d v="2025-03-04T00:00:00"/>
    <x v="2"/>
    <x v="2"/>
    <x v="2"/>
    <n v="16"/>
    <n v="88657"/>
    <x v="62"/>
    <x v="0"/>
    <x v="2"/>
    <x v="6"/>
  </r>
  <r>
    <d v="2025-03-05T00:00:00"/>
    <x v="2"/>
    <x v="2"/>
    <x v="2"/>
    <n v="3"/>
    <n v="20966"/>
    <x v="63"/>
    <x v="0"/>
    <x v="2"/>
    <x v="0"/>
  </r>
  <r>
    <d v="2025-03-06T00:00:00"/>
    <x v="0"/>
    <x v="1"/>
    <x v="0"/>
    <n v="18"/>
    <n v="62921"/>
    <x v="64"/>
    <x v="0"/>
    <x v="2"/>
    <x v="1"/>
  </r>
  <r>
    <d v="2025-03-07T00:00:00"/>
    <x v="3"/>
    <x v="3"/>
    <x v="3"/>
    <n v="14"/>
    <n v="59726"/>
    <x v="65"/>
    <x v="0"/>
    <x v="2"/>
    <x v="2"/>
  </r>
  <r>
    <d v="2025-03-08T00:00:00"/>
    <x v="1"/>
    <x v="2"/>
    <x v="1"/>
    <n v="18"/>
    <n v="60300"/>
    <x v="66"/>
    <x v="0"/>
    <x v="2"/>
    <x v="3"/>
  </r>
  <r>
    <d v="2025-03-09T00:00:00"/>
    <x v="2"/>
    <x v="0"/>
    <x v="1"/>
    <n v="2"/>
    <n v="32677"/>
    <x v="67"/>
    <x v="0"/>
    <x v="2"/>
    <x v="4"/>
  </r>
  <r>
    <d v="2025-03-10T00:00:00"/>
    <x v="1"/>
    <x v="0"/>
    <x v="0"/>
    <n v="3"/>
    <n v="65609"/>
    <x v="68"/>
    <x v="0"/>
    <x v="2"/>
    <x v="5"/>
  </r>
  <r>
    <d v="2025-03-11T00:00:00"/>
    <x v="3"/>
    <x v="1"/>
    <x v="0"/>
    <n v="16"/>
    <n v="66661"/>
    <x v="69"/>
    <x v="0"/>
    <x v="2"/>
    <x v="6"/>
  </r>
  <r>
    <d v="2025-03-12T00:00:00"/>
    <x v="3"/>
    <x v="2"/>
    <x v="3"/>
    <n v="9"/>
    <n v="41024"/>
    <x v="70"/>
    <x v="0"/>
    <x v="2"/>
    <x v="0"/>
  </r>
  <r>
    <d v="2025-03-13T00:00:00"/>
    <x v="3"/>
    <x v="3"/>
    <x v="1"/>
    <n v="4"/>
    <n v="80313"/>
    <x v="71"/>
    <x v="0"/>
    <x v="2"/>
    <x v="1"/>
  </r>
  <r>
    <d v="2025-03-14T00:00:00"/>
    <x v="2"/>
    <x v="0"/>
    <x v="1"/>
    <n v="1"/>
    <n v="63006"/>
    <x v="72"/>
    <x v="0"/>
    <x v="2"/>
    <x v="2"/>
  </r>
  <r>
    <d v="2025-03-15T00:00:00"/>
    <x v="3"/>
    <x v="2"/>
    <x v="1"/>
    <n v="4"/>
    <n v="25338"/>
    <x v="73"/>
    <x v="0"/>
    <x v="2"/>
    <x v="3"/>
  </r>
  <r>
    <d v="2025-03-16T00:00:00"/>
    <x v="2"/>
    <x v="2"/>
    <x v="2"/>
    <n v="1"/>
    <n v="78027"/>
    <x v="74"/>
    <x v="0"/>
    <x v="2"/>
    <x v="4"/>
  </r>
  <r>
    <d v="2025-03-17T00:00:00"/>
    <x v="3"/>
    <x v="1"/>
    <x v="1"/>
    <n v="14"/>
    <n v="90135"/>
    <x v="75"/>
    <x v="0"/>
    <x v="2"/>
    <x v="5"/>
  </r>
  <r>
    <d v="2025-03-18T00:00:00"/>
    <x v="1"/>
    <x v="0"/>
    <x v="2"/>
    <n v="16"/>
    <n v="29508"/>
    <x v="76"/>
    <x v="0"/>
    <x v="2"/>
    <x v="6"/>
  </r>
  <r>
    <d v="2025-03-19T00:00:00"/>
    <x v="1"/>
    <x v="0"/>
    <x v="3"/>
    <n v="8"/>
    <n v="13051"/>
    <x v="77"/>
    <x v="0"/>
    <x v="2"/>
    <x v="0"/>
  </r>
  <r>
    <d v="2025-03-20T00:00:00"/>
    <x v="0"/>
    <x v="3"/>
    <x v="2"/>
    <n v="7"/>
    <n v="58747"/>
    <x v="78"/>
    <x v="0"/>
    <x v="2"/>
    <x v="1"/>
  </r>
  <r>
    <d v="2025-03-21T00:00:00"/>
    <x v="1"/>
    <x v="0"/>
    <x v="3"/>
    <n v="3"/>
    <n v="97142"/>
    <x v="79"/>
    <x v="0"/>
    <x v="2"/>
    <x v="2"/>
  </r>
  <r>
    <d v="2025-03-22T00:00:00"/>
    <x v="0"/>
    <x v="3"/>
    <x v="1"/>
    <n v="17"/>
    <n v="97235"/>
    <x v="80"/>
    <x v="0"/>
    <x v="2"/>
    <x v="3"/>
  </r>
  <r>
    <d v="2025-03-23T00:00:00"/>
    <x v="1"/>
    <x v="0"/>
    <x v="1"/>
    <n v="1"/>
    <n v="64021"/>
    <x v="81"/>
    <x v="0"/>
    <x v="2"/>
    <x v="4"/>
  </r>
  <r>
    <d v="2025-03-24T00:00:00"/>
    <x v="2"/>
    <x v="1"/>
    <x v="3"/>
    <n v="16"/>
    <n v="76412"/>
    <x v="82"/>
    <x v="0"/>
    <x v="2"/>
    <x v="5"/>
  </r>
  <r>
    <d v="2025-03-25T00:00:00"/>
    <x v="1"/>
    <x v="0"/>
    <x v="0"/>
    <n v="12"/>
    <n v="68335"/>
    <x v="83"/>
    <x v="0"/>
    <x v="2"/>
    <x v="6"/>
  </r>
  <r>
    <d v="2025-03-26T00:00:00"/>
    <x v="0"/>
    <x v="3"/>
    <x v="3"/>
    <n v="19"/>
    <n v="66179"/>
    <x v="84"/>
    <x v="0"/>
    <x v="2"/>
    <x v="0"/>
  </r>
  <r>
    <d v="2025-03-27T00:00:00"/>
    <x v="0"/>
    <x v="3"/>
    <x v="0"/>
    <n v="14"/>
    <n v="42093"/>
    <x v="85"/>
    <x v="0"/>
    <x v="2"/>
    <x v="1"/>
  </r>
  <r>
    <d v="2025-03-28T00:00:00"/>
    <x v="3"/>
    <x v="1"/>
    <x v="2"/>
    <n v="6"/>
    <n v="79678"/>
    <x v="86"/>
    <x v="0"/>
    <x v="2"/>
    <x v="2"/>
  </r>
  <r>
    <d v="2025-03-29T00:00:00"/>
    <x v="2"/>
    <x v="0"/>
    <x v="2"/>
    <n v="6"/>
    <n v="90738"/>
    <x v="87"/>
    <x v="0"/>
    <x v="2"/>
    <x v="3"/>
  </r>
  <r>
    <d v="2025-03-30T00:00:00"/>
    <x v="1"/>
    <x v="0"/>
    <x v="2"/>
    <n v="13"/>
    <n v="49734"/>
    <x v="88"/>
    <x v="0"/>
    <x v="2"/>
    <x v="4"/>
  </r>
  <r>
    <d v="2025-03-31T00:00:00"/>
    <x v="3"/>
    <x v="1"/>
    <x v="1"/>
    <n v="19"/>
    <n v="82615"/>
    <x v="89"/>
    <x v="0"/>
    <x v="2"/>
    <x v="5"/>
  </r>
  <r>
    <d v="2025-04-01T00:00:00"/>
    <x v="1"/>
    <x v="0"/>
    <x v="2"/>
    <n v="8"/>
    <n v="83523"/>
    <x v="90"/>
    <x v="0"/>
    <x v="3"/>
    <x v="6"/>
  </r>
  <r>
    <d v="2025-04-02T00:00:00"/>
    <x v="1"/>
    <x v="0"/>
    <x v="0"/>
    <n v="2"/>
    <n v="27019"/>
    <x v="91"/>
    <x v="0"/>
    <x v="3"/>
    <x v="0"/>
  </r>
  <r>
    <d v="2025-04-03T00:00:00"/>
    <x v="3"/>
    <x v="3"/>
    <x v="2"/>
    <n v="1"/>
    <n v="93613"/>
    <x v="92"/>
    <x v="0"/>
    <x v="3"/>
    <x v="1"/>
  </r>
  <r>
    <d v="2025-04-04T00:00:00"/>
    <x v="3"/>
    <x v="0"/>
    <x v="3"/>
    <n v="15"/>
    <n v="96672"/>
    <x v="93"/>
    <x v="0"/>
    <x v="3"/>
    <x v="2"/>
  </r>
  <r>
    <d v="2025-04-05T00:00:00"/>
    <x v="3"/>
    <x v="0"/>
    <x v="3"/>
    <n v="1"/>
    <n v="83847"/>
    <x v="94"/>
    <x v="0"/>
    <x v="3"/>
    <x v="3"/>
  </r>
  <r>
    <d v="2025-04-06T00:00:00"/>
    <x v="3"/>
    <x v="1"/>
    <x v="1"/>
    <n v="5"/>
    <n v="92750"/>
    <x v="95"/>
    <x v="0"/>
    <x v="3"/>
    <x v="4"/>
  </r>
  <r>
    <d v="2025-04-07T00:00:00"/>
    <x v="3"/>
    <x v="1"/>
    <x v="3"/>
    <n v="16"/>
    <n v="89634"/>
    <x v="96"/>
    <x v="0"/>
    <x v="3"/>
    <x v="5"/>
  </r>
  <r>
    <d v="2025-04-08T00:00:00"/>
    <x v="1"/>
    <x v="2"/>
    <x v="0"/>
    <n v="19"/>
    <n v="38251"/>
    <x v="97"/>
    <x v="0"/>
    <x v="3"/>
    <x v="6"/>
  </r>
  <r>
    <d v="2025-04-09T00:00:00"/>
    <x v="3"/>
    <x v="3"/>
    <x v="2"/>
    <n v="4"/>
    <n v="35945"/>
    <x v="98"/>
    <x v="0"/>
    <x v="3"/>
    <x v="0"/>
  </r>
  <r>
    <d v="2025-04-10T00:00:00"/>
    <x v="2"/>
    <x v="0"/>
    <x v="1"/>
    <n v="3"/>
    <n v="42217"/>
    <x v="99"/>
    <x v="0"/>
    <x v="3"/>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848AED0-A692-459C-9184-2F2701A0008C}"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3:B5" firstHeaderRow="1" firstDataRow="1" firstDataCol="1"/>
  <pivotFields count="10">
    <pivotField numFmtId="164" showAll="0"/>
    <pivotField axis="axisRow" showAll="0">
      <items count="5">
        <item h="1" x="1"/>
        <item x="0"/>
        <item h="1" x="3"/>
        <item h="1" x="2"/>
        <item t="default"/>
      </items>
    </pivotField>
    <pivotField showAll="0">
      <items count="5">
        <item x="3"/>
        <item x="2"/>
        <item x="1"/>
        <item x="0"/>
        <item t="default"/>
      </items>
    </pivotField>
    <pivotField showAll="0"/>
    <pivotField dataField="1" showAll="0"/>
    <pivotField showAll="0"/>
    <pivotField showAll="0"/>
    <pivotField showAll="0"/>
    <pivotField showAll="0">
      <items count="5">
        <item x="0"/>
        <item x="1"/>
        <item x="2"/>
        <item x="3"/>
        <item t="default"/>
      </items>
    </pivotField>
    <pivotField showAll="0"/>
  </pivotFields>
  <rowFields count="1">
    <field x="1"/>
  </rowFields>
  <rowItems count="2">
    <i>
      <x v="1"/>
    </i>
    <i t="grand">
      <x/>
    </i>
  </rowItems>
  <colItems count="1">
    <i/>
  </colItems>
  <dataFields count="1">
    <dataField name="Count of Units Sold" fld="4" subtotal="count" baseField="1" baseItem="0"/>
  </dataFields>
  <chartFormats count="10">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1" count="1" selected="0">
            <x v="0"/>
          </reference>
        </references>
      </pivotArea>
    </chartFormat>
    <chartFormat chart="1" format="3">
      <pivotArea type="data" outline="0" fieldPosition="0">
        <references count="2">
          <reference field="4294967294" count="1" selected="0">
            <x v="0"/>
          </reference>
          <reference field="1" count="1" selected="0">
            <x v="1"/>
          </reference>
        </references>
      </pivotArea>
    </chartFormat>
    <chartFormat chart="1" format="4">
      <pivotArea type="data" outline="0" fieldPosition="0">
        <references count="2">
          <reference field="4294967294" count="1" selected="0">
            <x v="0"/>
          </reference>
          <reference field="1" count="1" selected="0">
            <x v="2"/>
          </reference>
        </references>
      </pivotArea>
    </chartFormat>
    <chartFormat chart="1" format="5">
      <pivotArea type="data" outline="0" fieldPosition="0">
        <references count="2">
          <reference field="4294967294" count="1" selected="0">
            <x v="0"/>
          </reference>
          <reference field="1" count="1" selected="0">
            <x v="3"/>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1" count="1" selected="0">
            <x v="2"/>
          </reference>
        </references>
      </pivotArea>
    </chartFormat>
    <chartFormat chart="3" format="10">
      <pivotArea type="data" outline="0" fieldPosition="0">
        <references count="2">
          <reference field="4294967294" count="1" selected="0">
            <x v="0"/>
          </reference>
          <reference field="1" count="1" selected="0">
            <x v="0"/>
          </reference>
        </references>
      </pivotArea>
    </chartFormat>
    <chartFormat chart="3" format="11">
      <pivotArea type="data" outline="0" fieldPosition="0">
        <references count="2">
          <reference field="4294967294" count="1" selected="0">
            <x v="0"/>
          </reference>
          <reference field="1" count="1" selected="0">
            <x v="1"/>
          </reference>
        </references>
      </pivotArea>
    </chartFormat>
    <chartFormat chart="3" format="12">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FDC4E4D-EA46-409B-A007-AA17C1BB2D3D}"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
  <location ref="M3:N8" firstHeaderRow="1" firstDataRow="1" firstDataCol="1"/>
  <pivotFields count="10">
    <pivotField numFmtId="164" showAll="0"/>
    <pivotField showAll="0">
      <items count="5">
        <item h="1" x="1"/>
        <item x="0"/>
        <item h="1" x="3"/>
        <item h="1" x="2"/>
        <item t="default"/>
      </items>
    </pivotField>
    <pivotField axis="axisRow" showAll="0">
      <items count="5">
        <item x="3"/>
        <item x="2"/>
        <item x="1"/>
        <item x="0"/>
        <item t="default"/>
      </items>
    </pivotField>
    <pivotField showAll="0">
      <items count="5">
        <item x="2"/>
        <item x="3"/>
        <item x="0"/>
        <item x="1"/>
        <item t="default"/>
      </items>
    </pivotField>
    <pivotField dataField="1" showAll="0"/>
    <pivotField showAll="0"/>
    <pivotField showAll="0"/>
    <pivotField showAll="0"/>
    <pivotField showAll="0">
      <items count="5">
        <item x="0"/>
        <item x="1"/>
        <item x="2"/>
        <item x="3"/>
        <item t="default"/>
      </items>
    </pivotField>
    <pivotField showAll="0">
      <items count="8">
        <item x="4"/>
        <item x="5"/>
        <item x="6"/>
        <item x="0"/>
        <item x="1"/>
        <item x="2"/>
        <item x="3"/>
        <item t="default"/>
      </items>
    </pivotField>
  </pivotFields>
  <rowFields count="1">
    <field x="2"/>
  </rowFields>
  <rowItems count="5">
    <i>
      <x/>
    </i>
    <i>
      <x v="1"/>
    </i>
    <i>
      <x v="2"/>
    </i>
    <i>
      <x v="3"/>
    </i>
    <i t="grand">
      <x/>
    </i>
  </rowItems>
  <colItems count="1">
    <i/>
  </colItems>
  <dataFields count="1">
    <dataField name="Sum of Units Sold" fld="4" baseField="0" baseItem="0"/>
  </dataFields>
  <chartFormats count="2">
    <chartFormat chart="5" format="1"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8815843-035D-4A2D-8905-32D0EF5058BC}" name="PivotTable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J3:K8" firstHeaderRow="1" firstDataRow="1" firstDataCol="1"/>
  <pivotFields count="10">
    <pivotField numFmtId="164" showAll="0"/>
    <pivotField showAll="0">
      <items count="5">
        <item h="1" x="1"/>
        <item x="0"/>
        <item h="1" x="3"/>
        <item h="1" x="2"/>
        <item t="default"/>
      </items>
    </pivotField>
    <pivotField showAll="0">
      <items count="5">
        <item x="3"/>
        <item x="2"/>
        <item x="1"/>
        <item x="0"/>
        <item t="default"/>
      </items>
    </pivotField>
    <pivotField axis="axisRow" showAll="0">
      <items count="5">
        <item x="2"/>
        <item x="3"/>
        <item x="0"/>
        <item x="1"/>
        <item t="default"/>
      </items>
    </pivotField>
    <pivotField dataField="1" showAll="0"/>
    <pivotField showAll="0"/>
    <pivotField showAll="0"/>
    <pivotField showAll="0"/>
    <pivotField showAll="0">
      <items count="5">
        <item x="0"/>
        <item x="1"/>
        <item x="2"/>
        <item x="3"/>
        <item t="default"/>
      </items>
    </pivotField>
    <pivotField showAll="0">
      <items count="8">
        <item x="4"/>
        <item x="5"/>
        <item x="6"/>
        <item x="0"/>
        <item x="1"/>
        <item x="2"/>
        <item x="3"/>
        <item t="default"/>
      </items>
    </pivotField>
  </pivotFields>
  <rowFields count="1">
    <field x="3"/>
  </rowFields>
  <rowItems count="5">
    <i>
      <x/>
    </i>
    <i>
      <x v="1"/>
    </i>
    <i>
      <x v="2"/>
    </i>
    <i>
      <x v="3"/>
    </i>
    <i t="grand">
      <x/>
    </i>
  </rowItems>
  <colItems count="1">
    <i/>
  </colItems>
  <dataFields count="1">
    <dataField name="Count of Units Sold" fld="4" subtotal="count" baseField="3" baseItem="0"/>
  </dataFields>
  <chartFormats count="10">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3" count="1" selected="0">
            <x v="0"/>
          </reference>
        </references>
      </pivotArea>
    </chartFormat>
    <chartFormat chart="1" format="3">
      <pivotArea type="data" outline="0" fieldPosition="0">
        <references count="2">
          <reference field="4294967294" count="1" selected="0">
            <x v="0"/>
          </reference>
          <reference field="3" count="1" selected="0">
            <x v="3"/>
          </reference>
        </references>
      </pivotArea>
    </chartFormat>
    <chartFormat chart="1" format="4">
      <pivotArea type="data" outline="0" fieldPosition="0">
        <references count="2">
          <reference field="4294967294" count="1" selected="0">
            <x v="0"/>
          </reference>
          <reference field="3" count="1" selected="0">
            <x v="2"/>
          </reference>
        </references>
      </pivotArea>
    </chartFormat>
    <chartFormat chart="1" format="5">
      <pivotArea type="data" outline="0" fieldPosition="0">
        <references count="2">
          <reference field="4294967294" count="1" selected="0">
            <x v="0"/>
          </reference>
          <reference field="3" count="1" selected="0">
            <x v="1"/>
          </reference>
        </references>
      </pivotArea>
    </chartFormat>
    <chartFormat chart="3" format="9" series="1">
      <pivotArea type="data" outline="0" fieldPosition="0">
        <references count="1">
          <reference field="4294967294" count="1" selected="0">
            <x v="0"/>
          </reference>
        </references>
      </pivotArea>
    </chartFormat>
    <chartFormat chart="3" format="10">
      <pivotArea type="data" outline="0" fieldPosition="0">
        <references count="2">
          <reference field="4294967294" count="1" selected="0">
            <x v="0"/>
          </reference>
          <reference field="3" count="1" selected="0">
            <x v="0"/>
          </reference>
        </references>
      </pivotArea>
    </chartFormat>
    <chartFormat chart="3" format="11">
      <pivotArea type="data" outline="0" fieldPosition="0">
        <references count="2">
          <reference field="4294967294" count="1" selected="0">
            <x v="0"/>
          </reference>
          <reference field="3" count="1" selected="0">
            <x v="1"/>
          </reference>
        </references>
      </pivotArea>
    </chartFormat>
    <chartFormat chart="3" format="12">
      <pivotArea type="data" outline="0" fieldPosition="0">
        <references count="2">
          <reference field="4294967294" count="1" selected="0">
            <x v="0"/>
          </reference>
          <reference field="3" count="1" selected="0">
            <x v="2"/>
          </reference>
        </references>
      </pivotArea>
    </chartFormat>
    <chartFormat chart="3" format="13">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21E2C53-414B-4D62-B024-58E6D29B6062}"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G3:H11" firstHeaderRow="1" firstDataRow="1" firstDataCol="1"/>
  <pivotFields count="10">
    <pivotField numFmtId="164" showAll="0"/>
    <pivotField showAll="0">
      <items count="5">
        <item h="1" x="1"/>
        <item x="0"/>
        <item h="1" x="3"/>
        <item h="1" x="2"/>
        <item t="default"/>
      </items>
    </pivotField>
    <pivotField showAll="0">
      <items count="5">
        <item x="3"/>
        <item x="2"/>
        <item x="1"/>
        <item x="0"/>
        <item t="default"/>
      </items>
    </pivotField>
    <pivotField showAll="0"/>
    <pivotField dataField="1" showAll="0"/>
    <pivotField showAll="0"/>
    <pivotField showAll="0"/>
    <pivotField showAll="0"/>
    <pivotField showAll="0">
      <items count="5">
        <item x="0"/>
        <item x="1"/>
        <item x="2"/>
        <item x="3"/>
        <item t="default"/>
      </items>
    </pivotField>
    <pivotField axis="axisRow" showAll="0">
      <items count="8">
        <item x="4"/>
        <item x="5"/>
        <item x="6"/>
        <item x="0"/>
        <item x="1"/>
        <item x="2"/>
        <item x="3"/>
        <item t="default"/>
      </items>
    </pivotField>
  </pivotFields>
  <rowFields count="1">
    <field x="9"/>
  </rowFields>
  <rowItems count="8">
    <i>
      <x/>
    </i>
    <i>
      <x v="1"/>
    </i>
    <i>
      <x v="2"/>
    </i>
    <i>
      <x v="3"/>
    </i>
    <i>
      <x v="4"/>
    </i>
    <i>
      <x v="5"/>
    </i>
    <i>
      <x v="6"/>
    </i>
    <i t="grand">
      <x/>
    </i>
  </rowItems>
  <colItems count="1">
    <i/>
  </colItems>
  <dataFields count="1">
    <dataField name="Sum of Units Sold" fld="4" baseField="0" baseItem="0"/>
  </dataFields>
  <chartFormats count="2">
    <chartFormat chart="1" format="1"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63919C7-B94D-433D-8C39-CDDEE8E8CF4A}"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D3:E7" firstHeaderRow="1" firstDataRow="1" firstDataCol="1"/>
  <pivotFields count="10">
    <pivotField numFmtId="164" showAll="0"/>
    <pivotField showAll="0">
      <items count="5">
        <item h="1" x="1"/>
        <item x="0"/>
        <item h="1" x="3"/>
        <item h="1" x="2"/>
        <item t="default"/>
      </items>
    </pivotField>
    <pivotField showAll="0">
      <items count="5">
        <item x="3"/>
        <item x="2"/>
        <item x="1"/>
        <item x="0"/>
        <item t="default"/>
      </items>
    </pivotField>
    <pivotField showAll="0"/>
    <pivotField dataField="1" showAll="0"/>
    <pivotField showAll="0"/>
    <pivotField showAll="0"/>
    <pivotField showAll="0">
      <items count="2">
        <item x="0"/>
        <item t="default"/>
      </items>
    </pivotField>
    <pivotField axis="axisRow" showAll="0">
      <items count="5">
        <item x="0"/>
        <item x="1"/>
        <item x="2"/>
        <item x="3"/>
        <item t="default"/>
      </items>
    </pivotField>
    <pivotField showAll="0"/>
  </pivotFields>
  <rowFields count="1">
    <field x="8"/>
  </rowFields>
  <rowItems count="4">
    <i>
      <x/>
    </i>
    <i>
      <x v="1"/>
    </i>
    <i>
      <x v="2"/>
    </i>
    <i t="grand">
      <x/>
    </i>
  </rowItems>
  <colItems count="1">
    <i/>
  </colItems>
  <dataFields count="1">
    <dataField name="Sum of Units Sold" fld="4" baseField="8" baseItem="0"/>
  </dataFields>
  <chartFormats count="2">
    <chartFormat chart="1" format="1"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ED61398-0B48-49DF-A63A-405013A00527}" sourceName="Region">
  <pivotTables>
    <pivotTable tabId="2" name="PivotTable1"/>
    <pivotTable tabId="2" name="PivotTable3"/>
    <pivotTable tabId="2" name="PivotTable4"/>
    <pivotTable tabId="2" name="PivotTable5"/>
    <pivotTable tabId="2" name="PivotTable6"/>
  </pivotTables>
  <data>
    <tabular pivotCacheId="1429709184">
      <items count="4">
        <i x="1"/>
        <i x="0" s="1"/>
        <i x="3"/>
        <i x="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92B113FC-6712-4283-983A-77EB882D44C1}" sourceName="Product">
  <pivotTables>
    <pivotTable tabId="2" name="PivotTable1"/>
    <pivotTable tabId="2" name="PivotTable3"/>
    <pivotTable tabId="2" name="PivotTable4"/>
    <pivotTable tabId="2" name="PivotTable5"/>
    <pivotTable tabId="2" name="PivotTable6"/>
  </pivotTables>
  <data>
    <tabular pivotCacheId="1429709184">
      <items count="4">
        <i x="3" s="1"/>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39DB3716-B0A2-4847-83A1-C0DB60771906}" sourceName="Month">
  <pivotTables>
    <pivotTable tabId="2" name="PivotTable1"/>
    <pivotTable tabId="2" name="PivotTable3"/>
    <pivotTable tabId="2" name="PivotTable4"/>
    <pivotTable tabId="2" name="PivotTable5"/>
    <pivotTable tabId="2" name="PivotTable6"/>
  </pivotTables>
  <data>
    <tabular pivotCacheId="1429709184">
      <items count="4">
        <i x="0" s="1"/>
        <i x="1" s="1"/>
        <i x="2" s="1"/>
        <i x="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AF4D616-C5C7-42C2-89A1-34E3591F90C9}" cache="Slicer_Region" caption="Region" rowHeight="241300"/>
  <slicer name="Product 1" xr10:uid="{1F0DF58A-0617-43C7-8E9B-AA08DFF8D000}" cache="Slicer_Product" caption="Product" rowHeight="241300"/>
  <slicer name="Month 1" xr10:uid="{6DE97C68-84EC-4ACE-9120-C8A876ECA2F2}" cache="Slicer_Month" caption="Month"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3BBA5757-FEF3-4E85-8520-3CAD027835A2}" cache="Slicer_Region" caption="Region" rowHeight="241300"/>
  <slicer name="Product" xr10:uid="{DDDB3F4C-EE0B-400B-B54E-212751C65DED}" cache="Slicer_Product" caption="Product" rowHeight="241300"/>
  <slicer name="Month" xr10:uid="{2FFA5FB5-39D0-47B0-AD83-3A6221BDBC5E}" cache="Slicer_Month" caption="Month"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384C703-1236-4A99-92B9-11DC46548D1C}" name="Table1" displayName="Table1" ref="P3:P5" totalsRowShown="0" headerRowDxfId="2" dataDxfId="1">
  <autoFilter ref="P3:P5" xr:uid="{3384C703-1236-4A99-92B9-11DC46548D1C}"/>
  <tableColumns count="1">
    <tableColumn id="1" xr3:uid="{00131E46-9C94-4E23-80F5-E9D74158DDF1}" name="Total sales "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table" Target="../tables/table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2.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4CEFB-E505-4324-B1B0-B97BB06BFD8F}">
  <dimension ref="V13"/>
  <sheetViews>
    <sheetView showGridLines="0" zoomScale="90" zoomScaleNormal="90" workbookViewId="0">
      <selection activeCell="V13" sqref="V13"/>
    </sheetView>
  </sheetViews>
  <sheetFormatPr defaultRowHeight="15" x14ac:dyDescent="0.25"/>
  <cols>
    <col min="23" max="23" width="38.85546875" customWidth="1"/>
  </cols>
  <sheetData>
    <row r="13" spans="22:22" ht="31.5" x14ac:dyDescent="0.5">
      <c r="V13" s="9"/>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1B77C-B190-4B50-9433-5A6140FB31FC}">
  <dimension ref="A1:P11"/>
  <sheetViews>
    <sheetView workbookViewId="0">
      <selection activeCell="A3" sqref="A3:B8"/>
    </sheetView>
  </sheetViews>
  <sheetFormatPr defaultRowHeight="15" x14ac:dyDescent="0.25"/>
  <cols>
    <col min="1" max="1" width="13.140625" bestFit="1" customWidth="1"/>
    <col min="2" max="2" width="18.28515625" bestFit="1" customWidth="1"/>
    <col min="3" max="3" width="16.42578125" bestFit="1" customWidth="1"/>
    <col min="4" max="4" width="13.140625" bestFit="1" customWidth="1"/>
    <col min="5" max="5" width="16.7109375" bestFit="1" customWidth="1"/>
    <col min="6" max="6" width="16.42578125" bestFit="1" customWidth="1"/>
    <col min="7" max="7" width="13.140625" bestFit="1" customWidth="1"/>
    <col min="8" max="8" width="16.7109375" bestFit="1" customWidth="1"/>
    <col min="9" max="9" width="16.42578125" bestFit="1" customWidth="1"/>
    <col min="10" max="10" width="13.140625" bestFit="1" customWidth="1"/>
    <col min="11" max="11" width="18.28515625" bestFit="1" customWidth="1"/>
    <col min="12" max="12" width="16.42578125" bestFit="1" customWidth="1"/>
    <col min="13" max="13" width="13.140625" bestFit="1" customWidth="1"/>
    <col min="14" max="14" width="16.7109375" bestFit="1" customWidth="1"/>
    <col min="15" max="15" width="21.5703125" bestFit="1" customWidth="1"/>
    <col min="16" max="16" width="22.28515625" bestFit="1" customWidth="1"/>
  </cols>
  <sheetData>
    <row r="1" spans="1:16" x14ac:dyDescent="0.25">
      <c r="A1" s="7" t="s">
        <v>29</v>
      </c>
      <c r="D1" s="7"/>
      <c r="G1" s="7" t="s">
        <v>37</v>
      </c>
      <c r="J1" s="7" t="s">
        <v>38</v>
      </c>
      <c r="M1" s="7" t="s">
        <v>39</v>
      </c>
    </row>
    <row r="3" spans="1:16" x14ac:dyDescent="0.25">
      <c r="A3" s="3" t="s">
        <v>19</v>
      </c>
      <c r="B3" t="s">
        <v>28</v>
      </c>
      <c r="D3" s="3" t="s">
        <v>19</v>
      </c>
      <c r="E3" t="s">
        <v>21</v>
      </c>
      <c r="G3" s="3" t="s">
        <v>19</v>
      </c>
      <c r="H3" t="s">
        <v>21</v>
      </c>
      <c r="J3" s="3" t="s">
        <v>19</v>
      </c>
      <c r="K3" t="s">
        <v>28</v>
      </c>
      <c r="M3" s="3" t="s">
        <v>19</v>
      </c>
      <c r="N3" t="s">
        <v>21</v>
      </c>
      <c r="P3" s="8" t="s">
        <v>42</v>
      </c>
    </row>
    <row r="4" spans="1:16" x14ac:dyDescent="0.25">
      <c r="A4" s="4" t="s">
        <v>7</v>
      </c>
      <c r="B4" s="5">
        <v>24</v>
      </c>
      <c r="D4" s="4" t="s">
        <v>25</v>
      </c>
      <c r="E4" s="5">
        <v>72</v>
      </c>
      <c r="G4" s="4" t="s">
        <v>30</v>
      </c>
      <c r="H4" s="5">
        <v>38</v>
      </c>
      <c r="J4" s="4" t="s">
        <v>17</v>
      </c>
      <c r="K4" s="5">
        <v>6</v>
      </c>
      <c r="M4" s="4" t="s">
        <v>14</v>
      </c>
      <c r="N4" s="5">
        <v>115</v>
      </c>
      <c r="P4" s="8" t="s">
        <v>41</v>
      </c>
    </row>
    <row r="5" spans="1:16" x14ac:dyDescent="0.25">
      <c r="A5" s="4" t="s">
        <v>20</v>
      </c>
      <c r="B5" s="5">
        <v>24</v>
      </c>
      <c r="D5" s="4" t="s">
        <v>26</v>
      </c>
      <c r="E5" s="5">
        <v>84</v>
      </c>
      <c r="G5" s="4" t="s">
        <v>31</v>
      </c>
      <c r="H5" s="5">
        <v>52</v>
      </c>
      <c r="J5" s="4" t="s">
        <v>18</v>
      </c>
      <c r="K5" s="5">
        <v>5</v>
      </c>
      <c r="M5" s="4" t="s">
        <v>13</v>
      </c>
      <c r="N5" s="5">
        <v>30</v>
      </c>
      <c r="P5" s="8"/>
    </row>
    <row r="6" spans="1:16" x14ac:dyDescent="0.25">
      <c r="D6" s="4" t="s">
        <v>27</v>
      </c>
      <c r="E6" s="5">
        <v>86</v>
      </c>
      <c r="G6" s="4" t="s">
        <v>32</v>
      </c>
      <c r="H6" s="5">
        <v>13</v>
      </c>
      <c r="J6" s="4" t="s">
        <v>15</v>
      </c>
      <c r="K6" s="5">
        <v>8</v>
      </c>
      <c r="M6" s="4" t="s">
        <v>12</v>
      </c>
      <c r="N6" s="5">
        <v>58</v>
      </c>
    </row>
    <row r="7" spans="1:16" x14ac:dyDescent="0.25">
      <c r="D7" s="4" t="s">
        <v>20</v>
      </c>
      <c r="E7" s="5">
        <v>242</v>
      </c>
      <c r="G7" s="4" t="s">
        <v>33</v>
      </c>
      <c r="H7" s="5">
        <v>20</v>
      </c>
      <c r="J7" s="4" t="s">
        <v>16</v>
      </c>
      <c r="K7" s="5">
        <v>5</v>
      </c>
      <c r="M7" s="4" t="s">
        <v>11</v>
      </c>
      <c r="N7" s="5">
        <v>39</v>
      </c>
    </row>
    <row r="8" spans="1:16" x14ac:dyDescent="0.25">
      <c r="G8" s="4" t="s">
        <v>34</v>
      </c>
      <c r="H8" s="5">
        <v>75</v>
      </c>
      <c r="J8" s="4" t="s">
        <v>20</v>
      </c>
      <c r="K8" s="5">
        <v>24</v>
      </c>
      <c r="M8" s="4" t="s">
        <v>20</v>
      </c>
      <c r="N8" s="5">
        <v>242</v>
      </c>
    </row>
    <row r="9" spans="1:16" x14ac:dyDescent="0.25">
      <c r="G9" s="4" t="s">
        <v>35</v>
      </c>
      <c r="H9" s="5">
        <v>4</v>
      </c>
    </row>
    <row r="10" spans="1:16" x14ac:dyDescent="0.25">
      <c r="G10" s="4" t="s">
        <v>36</v>
      </c>
      <c r="H10" s="5">
        <v>40</v>
      </c>
    </row>
    <row r="11" spans="1:16" x14ac:dyDescent="0.25">
      <c r="A11" s="4" t="s">
        <v>43</v>
      </c>
      <c r="G11" s="4" t="s">
        <v>20</v>
      </c>
      <c r="H11" s="5">
        <v>242</v>
      </c>
    </row>
  </sheetData>
  <pageMargins left="0.7" right="0.7" top="0.75" bottom="0.75" header="0.3" footer="0.3"/>
  <pageSetup orientation="portrait" r:id="rId6"/>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DDDE6-11D2-483B-B15A-8B485ED5C5EA}">
  <dimension ref="A1"/>
  <sheetViews>
    <sheetView showGridLines="0" tabSelected="1" zoomScale="90" zoomScaleNormal="90" workbookViewId="0">
      <selection activeCell="O40" sqref="O40"/>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K101"/>
  <sheetViews>
    <sheetView topLeftCell="A48" workbookViewId="0">
      <selection activeCell="K2" sqref="K2"/>
    </sheetView>
  </sheetViews>
  <sheetFormatPr defaultRowHeight="15" x14ac:dyDescent="0.25"/>
  <cols>
    <col min="1" max="1" width="24.5703125" customWidth="1"/>
    <col min="2" max="2" width="18" customWidth="1"/>
    <col min="3" max="3" width="10.140625" customWidth="1"/>
    <col min="4" max="4" width="13" customWidth="1"/>
    <col min="5" max="5" width="11.42578125" customWidth="1"/>
    <col min="6" max="6" width="12.7109375" customWidth="1"/>
    <col min="7" max="7" width="18.28515625" customWidth="1"/>
    <col min="11" max="11" width="16.5703125" customWidth="1"/>
  </cols>
  <sheetData>
    <row r="1" spans="1:11" x14ac:dyDescent="0.25">
      <c r="A1" s="1" t="s">
        <v>0</v>
      </c>
      <c r="B1" s="1" t="s">
        <v>1</v>
      </c>
      <c r="C1" s="1" t="s">
        <v>2</v>
      </c>
      <c r="D1" s="1" t="s">
        <v>3</v>
      </c>
      <c r="E1" s="1" t="s">
        <v>4</v>
      </c>
      <c r="F1" s="1" t="s">
        <v>5</v>
      </c>
      <c r="G1" s="1" t="s">
        <v>6</v>
      </c>
      <c r="H1" s="6" t="s">
        <v>22</v>
      </c>
      <c r="I1" s="6" t="s">
        <v>23</v>
      </c>
      <c r="J1" s="6" t="s">
        <v>24</v>
      </c>
      <c r="K1" s="6" t="s">
        <v>40</v>
      </c>
    </row>
    <row r="2" spans="1:11" x14ac:dyDescent="0.25">
      <c r="A2" s="2">
        <v>45658</v>
      </c>
      <c r="B2" t="s">
        <v>7</v>
      </c>
      <c r="C2" t="s">
        <v>11</v>
      </c>
      <c r="D2" t="s">
        <v>15</v>
      </c>
      <c r="E2">
        <v>1</v>
      </c>
      <c r="F2">
        <v>83744</v>
      </c>
      <c r="G2">
        <v>83744</v>
      </c>
      <c r="H2">
        <f>YEAR(A2)</f>
        <v>2025</v>
      </c>
      <c r="I2" t="str">
        <f>TEXT(A2,"mmm")</f>
        <v>Jan</v>
      </c>
      <c r="J2" t="str">
        <f>TEXT(A2,"ddd")</f>
        <v>Wed</v>
      </c>
      <c r="K2" s="10">
        <f>SUM(G2:G101)</f>
        <v>52993482</v>
      </c>
    </row>
    <row r="3" spans="1:11" x14ac:dyDescent="0.25">
      <c r="A3" s="2">
        <v>45659</v>
      </c>
      <c r="B3" t="s">
        <v>8</v>
      </c>
      <c r="C3" t="s">
        <v>12</v>
      </c>
      <c r="D3" t="s">
        <v>16</v>
      </c>
      <c r="E3">
        <v>1</v>
      </c>
      <c r="F3">
        <v>66491</v>
      </c>
      <c r="G3">
        <v>66491</v>
      </c>
      <c r="H3">
        <f t="shared" ref="H3:H66" si="0">YEAR(A3)</f>
        <v>2025</v>
      </c>
      <c r="I3" t="str">
        <f t="shared" ref="I3:I66" si="1">TEXT(A3,"mmm")</f>
        <v>Jan</v>
      </c>
      <c r="J3" t="str">
        <f t="shared" ref="J3:J66" si="2">TEXT(A3,"ddd")</f>
        <v>Thu</v>
      </c>
    </row>
    <row r="4" spans="1:11" x14ac:dyDescent="0.25">
      <c r="A4" s="2">
        <v>45660</v>
      </c>
      <c r="B4" t="s">
        <v>9</v>
      </c>
      <c r="C4" t="s">
        <v>12</v>
      </c>
      <c r="D4" t="s">
        <v>15</v>
      </c>
      <c r="E4">
        <v>19</v>
      </c>
      <c r="F4">
        <v>28589</v>
      </c>
      <c r="G4">
        <v>543191</v>
      </c>
      <c r="H4">
        <f t="shared" si="0"/>
        <v>2025</v>
      </c>
      <c r="I4" t="str">
        <f t="shared" si="1"/>
        <v>Jan</v>
      </c>
      <c r="J4" t="str">
        <f t="shared" si="2"/>
        <v>Fri</v>
      </c>
    </row>
    <row r="5" spans="1:11" x14ac:dyDescent="0.25">
      <c r="A5" s="2">
        <v>45661</v>
      </c>
      <c r="B5" t="s">
        <v>7</v>
      </c>
      <c r="C5" t="s">
        <v>13</v>
      </c>
      <c r="D5" t="s">
        <v>17</v>
      </c>
      <c r="E5">
        <v>2</v>
      </c>
      <c r="F5">
        <v>53484</v>
      </c>
      <c r="G5">
        <v>106968</v>
      </c>
      <c r="H5">
        <f t="shared" si="0"/>
        <v>2025</v>
      </c>
      <c r="I5" t="str">
        <f t="shared" si="1"/>
        <v>Jan</v>
      </c>
      <c r="J5" t="str">
        <f t="shared" si="2"/>
        <v>Sat</v>
      </c>
    </row>
    <row r="6" spans="1:11" x14ac:dyDescent="0.25">
      <c r="A6" s="2">
        <v>45662</v>
      </c>
      <c r="B6" t="s">
        <v>7</v>
      </c>
      <c r="C6" t="s">
        <v>12</v>
      </c>
      <c r="D6" t="s">
        <v>16</v>
      </c>
      <c r="E6">
        <v>12</v>
      </c>
      <c r="F6">
        <v>92989</v>
      </c>
      <c r="G6">
        <v>1115868</v>
      </c>
      <c r="H6">
        <f t="shared" si="0"/>
        <v>2025</v>
      </c>
      <c r="I6" t="str">
        <f t="shared" si="1"/>
        <v>Jan</v>
      </c>
      <c r="J6" t="str">
        <f t="shared" si="2"/>
        <v>Sun</v>
      </c>
    </row>
    <row r="7" spans="1:11" x14ac:dyDescent="0.25">
      <c r="A7" s="2">
        <v>45663</v>
      </c>
      <c r="B7" t="s">
        <v>8</v>
      </c>
      <c r="C7" t="s">
        <v>12</v>
      </c>
      <c r="D7" t="s">
        <v>17</v>
      </c>
      <c r="E7">
        <v>6</v>
      </c>
      <c r="F7">
        <v>46212</v>
      </c>
      <c r="G7">
        <v>277272</v>
      </c>
      <c r="H7">
        <f t="shared" si="0"/>
        <v>2025</v>
      </c>
      <c r="I7" t="str">
        <f t="shared" si="1"/>
        <v>Jan</v>
      </c>
      <c r="J7" t="str">
        <f t="shared" si="2"/>
        <v>Mon</v>
      </c>
    </row>
    <row r="8" spans="1:11" x14ac:dyDescent="0.25">
      <c r="A8" s="2">
        <v>45664</v>
      </c>
      <c r="B8" t="s">
        <v>9</v>
      </c>
      <c r="C8" t="s">
        <v>12</v>
      </c>
      <c r="D8" t="s">
        <v>16</v>
      </c>
      <c r="E8">
        <v>4</v>
      </c>
      <c r="F8">
        <v>53525</v>
      </c>
      <c r="G8">
        <v>214100</v>
      </c>
      <c r="H8">
        <f t="shared" si="0"/>
        <v>2025</v>
      </c>
      <c r="I8" t="str">
        <f t="shared" si="1"/>
        <v>Jan</v>
      </c>
      <c r="J8" t="str">
        <f t="shared" si="2"/>
        <v>Tue</v>
      </c>
    </row>
    <row r="9" spans="1:11" x14ac:dyDescent="0.25">
      <c r="A9" s="2">
        <v>45665</v>
      </c>
      <c r="B9" t="s">
        <v>9</v>
      </c>
      <c r="C9" t="s">
        <v>13</v>
      </c>
      <c r="D9" t="s">
        <v>16</v>
      </c>
      <c r="E9">
        <v>11</v>
      </c>
      <c r="F9">
        <v>57202</v>
      </c>
      <c r="G9">
        <v>629222</v>
      </c>
      <c r="H9">
        <f t="shared" si="0"/>
        <v>2025</v>
      </c>
      <c r="I9" t="str">
        <f t="shared" si="1"/>
        <v>Jan</v>
      </c>
      <c r="J9" t="str">
        <f t="shared" si="2"/>
        <v>Wed</v>
      </c>
    </row>
    <row r="10" spans="1:11" x14ac:dyDescent="0.25">
      <c r="A10" s="2">
        <v>45666</v>
      </c>
      <c r="B10" t="s">
        <v>7</v>
      </c>
      <c r="C10" t="s">
        <v>12</v>
      </c>
      <c r="D10" t="s">
        <v>18</v>
      </c>
      <c r="E10">
        <v>17</v>
      </c>
      <c r="F10">
        <v>42635</v>
      </c>
      <c r="G10">
        <v>724795</v>
      </c>
      <c r="H10">
        <f t="shared" si="0"/>
        <v>2025</v>
      </c>
      <c r="I10" t="str">
        <f t="shared" si="1"/>
        <v>Jan</v>
      </c>
      <c r="J10" t="str">
        <f t="shared" si="2"/>
        <v>Thu</v>
      </c>
    </row>
    <row r="11" spans="1:11" x14ac:dyDescent="0.25">
      <c r="A11" s="2">
        <v>45667</v>
      </c>
      <c r="B11" t="s">
        <v>10</v>
      </c>
      <c r="C11" t="s">
        <v>11</v>
      </c>
      <c r="D11" t="s">
        <v>17</v>
      </c>
      <c r="E11">
        <v>6</v>
      </c>
      <c r="F11">
        <v>73208</v>
      </c>
      <c r="G11">
        <v>439248</v>
      </c>
      <c r="H11">
        <f t="shared" si="0"/>
        <v>2025</v>
      </c>
      <c r="I11" t="str">
        <f t="shared" si="1"/>
        <v>Jan</v>
      </c>
      <c r="J11" t="str">
        <f t="shared" si="2"/>
        <v>Fri</v>
      </c>
    </row>
    <row r="12" spans="1:11" x14ac:dyDescent="0.25">
      <c r="A12" s="2">
        <v>45668</v>
      </c>
      <c r="B12" t="s">
        <v>7</v>
      </c>
      <c r="C12" t="s">
        <v>13</v>
      </c>
      <c r="D12" t="s">
        <v>15</v>
      </c>
      <c r="E12">
        <v>5</v>
      </c>
      <c r="F12">
        <v>43828</v>
      </c>
      <c r="G12">
        <v>219140</v>
      </c>
      <c r="H12">
        <f t="shared" si="0"/>
        <v>2025</v>
      </c>
      <c r="I12" t="str">
        <f t="shared" si="1"/>
        <v>Jan</v>
      </c>
      <c r="J12" t="str">
        <f t="shared" si="2"/>
        <v>Sat</v>
      </c>
    </row>
    <row r="13" spans="1:11" x14ac:dyDescent="0.25">
      <c r="A13" s="2">
        <v>45669</v>
      </c>
      <c r="B13" t="s">
        <v>7</v>
      </c>
      <c r="C13" t="s">
        <v>11</v>
      </c>
      <c r="D13" t="s">
        <v>15</v>
      </c>
      <c r="E13">
        <v>2</v>
      </c>
      <c r="F13">
        <v>28711</v>
      </c>
      <c r="G13">
        <v>57422</v>
      </c>
      <c r="H13">
        <f t="shared" si="0"/>
        <v>2025</v>
      </c>
      <c r="I13" t="str">
        <f t="shared" si="1"/>
        <v>Jan</v>
      </c>
      <c r="J13" t="str">
        <f t="shared" si="2"/>
        <v>Sun</v>
      </c>
    </row>
    <row r="14" spans="1:11" x14ac:dyDescent="0.25">
      <c r="A14" s="2">
        <v>45670</v>
      </c>
      <c r="B14" t="s">
        <v>7</v>
      </c>
      <c r="C14" t="s">
        <v>13</v>
      </c>
      <c r="D14" t="s">
        <v>17</v>
      </c>
      <c r="E14">
        <v>6</v>
      </c>
      <c r="F14">
        <v>13420</v>
      </c>
      <c r="G14">
        <v>80520</v>
      </c>
      <c r="H14">
        <f t="shared" si="0"/>
        <v>2025</v>
      </c>
      <c r="I14" t="str">
        <f t="shared" si="1"/>
        <v>Jan</v>
      </c>
      <c r="J14" t="str">
        <f t="shared" si="2"/>
        <v>Mon</v>
      </c>
    </row>
    <row r="15" spans="1:11" x14ac:dyDescent="0.25">
      <c r="A15" s="2">
        <v>45671</v>
      </c>
      <c r="B15" t="s">
        <v>7</v>
      </c>
      <c r="C15" t="s">
        <v>12</v>
      </c>
      <c r="D15" t="s">
        <v>15</v>
      </c>
      <c r="E15">
        <v>11</v>
      </c>
      <c r="F15">
        <v>10301</v>
      </c>
      <c r="G15">
        <v>113311</v>
      </c>
      <c r="H15">
        <f t="shared" si="0"/>
        <v>2025</v>
      </c>
      <c r="I15" t="str">
        <f t="shared" si="1"/>
        <v>Jan</v>
      </c>
      <c r="J15" t="str">
        <f t="shared" si="2"/>
        <v>Tue</v>
      </c>
    </row>
    <row r="16" spans="1:11" x14ac:dyDescent="0.25">
      <c r="A16" s="2">
        <v>45672</v>
      </c>
      <c r="B16" t="s">
        <v>8</v>
      </c>
      <c r="C16" t="s">
        <v>11</v>
      </c>
      <c r="D16" t="s">
        <v>15</v>
      </c>
      <c r="E16">
        <v>16</v>
      </c>
      <c r="F16">
        <v>55236</v>
      </c>
      <c r="G16">
        <v>883776</v>
      </c>
      <c r="H16">
        <f t="shared" si="0"/>
        <v>2025</v>
      </c>
      <c r="I16" t="str">
        <f t="shared" si="1"/>
        <v>Jan</v>
      </c>
      <c r="J16" t="str">
        <f t="shared" si="2"/>
        <v>Wed</v>
      </c>
    </row>
    <row r="17" spans="1:10" x14ac:dyDescent="0.25">
      <c r="A17" s="2">
        <v>45673</v>
      </c>
      <c r="B17" t="s">
        <v>9</v>
      </c>
      <c r="C17" t="s">
        <v>13</v>
      </c>
      <c r="D17" t="s">
        <v>17</v>
      </c>
      <c r="E17">
        <v>16</v>
      </c>
      <c r="F17">
        <v>76235</v>
      </c>
      <c r="G17">
        <v>1219760</v>
      </c>
      <c r="H17">
        <f t="shared" si="0"/>
        <v>2025</v>
      </c>
      <c r="I17" t="str">
        <f t="shared" si="1"/>
        <v>Jan</v>
      </c>
      <c r="J17" t="str">
        <f t="shared" si="2"/>
        <v>Thu</v>
      </c>
    </row>
    <row r="18" spans="1:10" x14ac:dyDescent="0.25">
      <c r="A18" s="2">
        <v>45674</v>
      </c>
      <c r="B18" t="s">
        <v>8</v>
      </c>
      <c r="C18" t="s">
        <v>14</v>
      </c>
      <c r="D18" t="s">
        <v>16</v>
      </c>
      <c r="E18">
        <v>1</v>
      </c>
      <c r="F18">
        <v>64240</v>
      </c>
      <c r="G18">
        <v>64240</v>
      </c>
      <c r="H18">
        <f t="shared" si="0"/>
        <v>2025</v>
      </c>
      <c r="I18" t="str">
        <f t="shared" si="1"/>
        <v>Jan</v>
      </c>
      <c r="J18" t="str">
        <f t="shared" si="2"/>
        <v>Fri</v>
      </c>
    </row>
    <row r="19" spans="1:10" x14ac:dyDescent="0.25">
      <c r="A19" s="2">
        <v>45675</v>
      </c>
      <c r="B19" t="s">
        <v>8</v>
      </c>
      <c r="C19" t="s">
        <v>12</v>
      </c>
      <c r="D19" t="s">
        <v>17</v>
      </c>
      <c r="E19">
        <v>9</v>
      </c>
      <c r="F19">
        <v>75726</v>
      </c>
      <c r="G19">
        <v>681534</v>
      </c>
      <c r="H19">
        <f t="shared" si="0"/>
        <v>2025</v>
      </c>
      <c r="I19" t="str">
        <f t="shared" si="1"/>
        <v>Jan</v>
      </c>
      <c r="J19" t="str">
        <f t="shared" si="2"/>
        <v>Sat</v>
      </c>
    </row>
    <row r="20" spans="1:10" x14ac:dyDescent="0.25">
      <c r="A20" s="2">
        <v>45676</v>
      </c>
      <c r="B20" t="s">
        <v>8</v>
      </c>
      <c r="C20" t="s">
        <v>13</v>
      </c>
      <c r="D20" t="s">
        <v>16</v>
      </c>
      <c r="E20">
        <v>6</v>
      </c>
      <c r="F20">
        <v>20492</v>
      </c>
      <c r="G20">
        <v>122952</v>
      </c>
      <c r="H20">
        <f t="shared" si="0"/>
        <v>2025</v>
      </c>
      <c r="I20" t="str">
        <f t="shared" si="1"/>
        <v>Jan</v>
      </c>
      <c r="J20" t="str">
        <f t="shared" si="2"/>
        <v>Sun</v>
      </c>
    </row>
    <row r="21" spans="1:10" x14ac:dyDescent="0.25">
      <c r="A21" s="2">
        <v>45677</v>
      </c>
      <c r="B21" t="s">
        <v>7</v>
      </c>
      <c r="C21" t="s">
        <v>14</v>
      </c>
      <c r="D21" t="s">
        <v>15</v>
      </c>
      <c r="E21">
        <v>16</v>
      </c>
      <c r="F21">
        <v>16102</v>
      </c>
      <c r="G21">
        <v>257632</v>
      </c>
      <c r="H21">
        <f t="shared" si="0"/>
        <v>2025</v>
      </c>
      <c r="I21" t="str">
        <f t="shared" si="1"/>
        <v>Jan</v>
      </c>
      <c r="J21" t="str">
        <f t="shared" si="2"/>
        <v>Mon</v>
      </c>
    </row>
    <row r="22" spans="1:10" x14ac:dyDescent="0.25">
      <c r="A22" s="2">
        <v>45678</v>
      </c>
      <c r="B22" t="s">
        <v>10</v>
      </c>
      <c r="C22" t="s">
        <v>13</v>
      </c>
      <c r="D22" t="s">
        <v>15</v>
      </c>
      <c r="E22">
        <v>3</v>
      </c>
      <c r="F22">
        <v>60336</v>
      </c>
      <c r="G22">
        <v>181008</v>
      </c>
      <c r="H22">
        <f t="shared" si="0"/>
        <v>2025</v>
      </c>
      <c r="I22" t="str">
        <f t="shared" si="1"/>
        <v>Jan</v>
      </c>
      <c r="J22" t="str">
        <f t="shared" si="2"/>
        <v>Tue</v>
      </c>
    </row>
    <row r="23" spans="1:10" x14ac:dyDescent="0.25">
      <c r="A23" s="2">
        <v>45679</v>
      </c>
      <c r="B23" t="s">
        <v>9</v>
      </c>
      <c r="C23" t="s">
        <v>14</v>
      </c>
      <c r="D23" t="s">
        <v>15</v>
      </c>
      <c r="E23">
        <v>4</v>
      </c>
      <c r="F23">
        <v>95314</v>
      </c>
      <c r="G23">
        <v>381256</v>
      </c>
      <c r="H23">
        <f t="shared" si="0"/>
        <v>2025</v>
      </c>
      <c r="I23" t="str">
        <f t="shared" si="1"/>
        <v>Jan</v>
      </c>
      <c r="J23" t="str">
        <f t="shared" si="2"/>
        <v>Wed</v>
      </c>
    </row>
    <row r="24" spans="1:10" x14ac:dyDescent="0.25">
      <c r="A24" s="2">
        <v>45680</v>
      </c>
      <c r="B24" t="s">
        <v>10</v>
      </c>
      <c r="C24" t="s">
        <v>12</v>
      </c>
      <c r="D24" t="s">
        <v>18</v>
      </c>
      <c r="E24">
        <v>19</v>
      </c>
      <c r="F24">
        <v>36641</v>
      </c>
      <c r="G24">
        <v>696179</v>
      </c>
      <c r="H24">
        <f t="shared" si="0"/>
        <v>2025</v>
      </c>
      <c r="I24" t="str">
        <f t="shared" si="1"/>
        <v>Jan</v>
      </c>
      <c r="J24" t="str">
        <f t="shared" si="2"/>
        <v>Thu</v>
      </c>
    </row>
    <row r="25" spans="1:10" x14ac:dyDescent="0.25">
      <c r="A25" s="2">
        <v>45681</v>
      </c>
      <c r="B25" t="s">
        <v>8</v>
      </c>
      <c r="C25" t="s">
        <v>11</v>
      </c>
      <c r="D25" t="s">
        <v>16</v>
      </c>
      <c r="E25">
        <v>3</v>
      </c>
      <c r="F25">
        <v>44584</v>
      </c>
      <c r="G25">
        <v>133752</v>
      </c>
      <c r="H25">
        <f t="shared" si="0"/>
        <v>2025</v>
      </c>
      <c r="I25" t="str">
        <f t="shared" si="1"/>
        <v>Jan</v>
      </c>
      <c r="J25" t="str">
        <f t="shared" si="2"/>
        <v>Fri</v>
      </c>
    </row>
    <row r="26" spans="1:10" x14ac:dyDescent="0.25">
      <c r="A26" s="2">
        <v>45682</v>
      </c>
      <c r="B26" t="s">
        <v>8</v>
      </c>
      <c r="C26" t="s">
        <v>14</v>
      </c>
      <c r="D26" t="s">
        <v>18</v>
      </c>
      <c r="E26">
        <v>19</v>
      </c>
      <c r="F26">
        <v>42745</v>
      </c>
      <c r="G26">
        <v>812155</v>
      </c>
      <c r="H26">
        <f t="shared" si="0"/>
        <v>2025</v>
      </c>
      <c r="I26" t="str">
        <f t="shared" si="1"/>
        <v>Jan</v>
      </c>
      <c r="J26" t="str">
        <f t="shared" si="2"/>
        <v>Sat</v>
      </c>
    </row>
    <row r="27" spans="1:10" x14ac:dyDescent="0.25">
      <c r="A27" s="2">
        <v>45683</v>
      </c>
      <c r="B27" t="s">
        <v>10</v>
      </c>
      <c r="C27" t="s">
        <v>13</v>
      </c>
      <c r="D27" t="s">
        <v>18</v>
      </c>
      <c r="E27">
        <v>7</v>
      </c>
      <c r="F27">
        <v>33093</v>
      </c>
      <c r="G27">
        <v>231651</v>
      </c>
      <c r="H27">
        <f t="shared" si="0"/>
        <v>2025</v>
      </c>
      <c r="I27" t="str">
        <f t="shared" si="1"/>
        <v>Jan</v>
      </c>
      <c r="J27" t="str">
        <f t="shared" si="2"/>
        <v>Sun</v>
      </c>
    </row>
    <row r="28" spans="1:10" x14ac:dyDescent="0.25">
      <c r="A28" s="2">
        <v>45684</v>
      </c>
      <c r="B28" t="s">
        <v>10</v>
      </c>
      <c r="C28" t="s">
        <v>12</v>
      </c>
      <c r="D28" t="s">
        <v>17</v>
      </c>
      <c r="E28">
        <v>9</v>
      </c>
      <c r="F28">
        <v>76105</v>
      </c>
      <c r="G28">
        <v>684945</v>
      </c>
      <c r="H28">
        <f t="shared" si="0"/>
        <v>2025</v>
      </c>
      <c r="I28" t="str">
        <f t="shared" si="1"/>
        <v>Jan</v>
      </c>
      <c r="J28" t="str">
        <f t="shared" si="2"/>
        <v>Mon</v>
      </c>
    </row>
    <row r="29" spans="1:10" x14ac:dyDescent="0.25">
      <c r="A29" s="2">
        <v>45685</v>
      </c>
      <c r="B29" t="s">
        <v>10</v>
      </c>
      <c r="C29" t="s">
        <v>14</v>
      </c>
      <c r="D29" t="s">
        <v>18</v>
      </c>
      <c r="E29">
        <v>1</v>
      </c>
      <c r="F29">
        <v>61885</v>
      </c>
      <c r="G29">
        <v>61885</v>
      </c>
      <c r="H29">
        <f t="shared" si="0"/>
        <v>2025</v>
      </c>
      <c r="I29" t="str">
        <f t="shared" si="1"/>
        <v>Jan</v>
      </c>
      <c r="J29" t="str">
        <f t="shared" si="2"/>
        <v>Tue</v>
      </c>
    </row>
    <row r="30" spans="1:10" x14ac:dyDescent="0.25">
      <c r="A30" s="2">
        <v>45686</v>
      </c>
      <c r="B30" t="s">
        <v>8</v>
      </c>
      <c r="C30" t="s">
        <v>13</v>
      </c>
      <c r="D30" t="s">
        <v>17</v>
      </c>
      <c r="E30">
        <v>8</v>
      </c>
      <c r="F30">
        <v>46631</v>
      </c>
      <c r="G30">
        <v>373048</v>
      </c>
      <c r="H30">
        <f t="shared" si="0"/>
        <v>2025</v>
      </c>
      <c r="I30" t="str">
        <f t="shared" si="1"/>
        <v>Jan</v>
      </c>
      <c r="J30" t="str">
        <f t="shared" si="2"/>
        <v>Wed</v>
      </c>
    </row>
    <row r="31" spans="1:10" x14ac:dyDescent="0.25">
      <c r="A31" s="2">
        <v>45687</v>
      </c>
      <c r="B31" t="s">
        <v>8</v>
      </c>
      <c r="C31" t="s">
        <v>13</v>
      </c>
      <c r="D31" t="s">
        <v>17</v>
      </c>
      <c r="E31">
        <v>7</v>
      </c>
      <c r="F31">
        <v>82991</v>
      </c>
      <c r="G31">
        <v>580937</v>
      </c>
      <c r="H31">
        <f t="shared" si="0"/>
        <v>2025</v>
      </c>
      <c r="I31" t="str">
        <f t="shared" si="1"/>
        <v>Jan</v>
      </c>
      <c r="J31" t="str">
        <f t="shared" si="2"/>
        <v>Thu</v>
      </c>
    </row>
    <row r="32" spans="1:10" x14ac:dyDescent="0.25">
      <c r="A32" s="2">
        <v>45688</v>
      </c>
      <c r="B32" t="s">
        <v>9</v>
      </c>
      <c r="C32" t="s">
        <v>13</v>
      </c>
      <c r="D32" t="s">
        <v>18</v>
      </c>
      <c r="E32">
        <v>18</v>
      </c>
      <c r="F32">
        <v>14014</v>
      </c>
      <c r="G32">
        <v>252252</v>
      </c>
      <c r="H32">
        <f t="shared" si="0"/>
        <v>2025</v>
      </c>
      <c r="I32" t="str">
        <f t="shared" si="1"/>
        <v>Jan</v>
      </c>
      <c r="J32" t="str">
        <f t="shared" si="2"/>
        <v>Fri</v>
      </c>
    </row>
    <row r="33" spans="1:10" x14ac:dyDescent="0.25">
      <c r="A33" s="2">
        <v>45689</v>
      </c>
      <c r="B33" t="s">
        <v>9</v>
      </c>
      <c r="C33" t="s">
        <v>14</v>
      </c>
      <c r="D33" t="s">
        <v>16</v>
      </c>
      <c r="E33">
        <v>8</v>
      </c>
      <c r="F33">
        <v>21093</v>
      </c>
      <c r="G33">
        <v>168744</v>
      </c>
      <c r="H33">
        <f t="shared" si="0"/>
        <v>2025</v>
      </c>
      <c r="I33" t="str">
        <f t="shared" si="1"/>
        <v>Feb</v>
      </c>
      <c r="J33" t="str">
        <f t="shared" si="2"/>
        <v>Sat</v>
      </c>
    </row>
    <row r="34" spans="1:10" x14ac:dyDescent="0.25">
      <c r="A34" s="2">
        <v>45690</v>
      </c>
      <c r="B34" t="s">
        <v>8</v>
      </c>
      <c r="C34" t="s">
        <v>14</v>
      </c>
      <c r="D34" t="s">
        <v>16</v>
      </c>
      <c r="E34">
        <v>1</v>
      </c>
      <c r="F34">
        <v>28070</v>
      </c>
      <c r="G34">
        <v>28070</v>
      </c>
      <c r="H34">
        <f t="shared" si="0"/>
        <v>2025</v>
      </c>
      <c r="I34" t="str">
        <f t="shared" si="1"/>
        <v>Feb</v>
      </c>
      <c r="J34" t="str">
        <f t="shared" si="2"/>
        <v>Sun</v>
      </c>
    </row>
    <row r="35" spans="1:10" x14ac:dyDescent="0.25">
      <c r="A35" s="2">
        <v>45691</v>
      </c>
      <c r="B35" t="s">
        <v>10</v>
      </c>
      <c r="C35" t="s">
        <v>14</v>
      </c>
      <c r="D35" t="s">
        <v>16</v>
      </c>
      <c r="E35">
        <v>11</v>
      </c>
      <c r="F35">
        <v>45777</v>
      </c>
      <c r="G35">
        <v>503547</v>
      </c>
      <c r="H35">
        <f t="shared" si="0"/>
        <v>2025</v>
      </c>
      <c r="I35" t="str">
        <f t="shared" si="1"/>
        <v>Feb</v>
      </c>
      <c r="J35" t="str">
        <f t="shared" si="2"/>
        <v>Mon</v>
      </c>
    </row>
    <row r="36" spans="1:10" x14ac:dyDescent="0.25">
      <c r="A36" s="2">
        <v>45692</v>
      </c>
      <c r="B36" t="s">
        <v>10</v>
      </c>
      <c r="C36" t="s">
        <v>11</v>
      </c>
      <c r="D36" t="s">
        <v>16</v>
      </c>
      <c r="E36">
        <v>18</v>
      </c>
      <c r="F36">
        <v>66958</v>
      </c>
      <c r="G36">
        <v>1205244</v>
      </c>
      <c r="H36">
        <f t="shared" si="0"/>
        <v>2025</v>
      </c>
      <c r="I36" t="str">
        <f t="shared" si="1"/>
        <v>Feb</v>
      </c>
      <c r="J36" t="str">
        <f t="shared" si="2"/>
        <v>Tue</v>
      </c>
    </row>
    <row r="37" spans="1:10" x14ac:dyDescent="0.25">
      <c r="A37" s="2">
        <v>45693</v>
      </c>
      <c r="B37" t="s">
        <v>9</v>
      </c>
      <c r="C37" t="s">
        <v>14</v>
      </c>
      <c r="D37" t="s">
        <v>16</v>
      </c>
      <c r="E37">
        <v>10</v>
      </c>
      <c r="F37">
        <v>92074</v>
      </c>
      <c r="G37">
        <v>920740</v>
      </c>
      <c r="H37">
        <f t="shared" si="0"/>
        <v>2025</v>
      </c>
      <c r="I37" t="str">
        <f t="shared" si="1"/>
        <v>Feb</v>
      </c>
      <c r="J37" t="str">
        <f t="shared" si="2"/>
        <v>Wed</v>
      </c>
    </row>
    <row r="38" spans="1:10" x14ac:dyDescent="0.25">
      <c r="A38" s="2">
        <v>45694</v>
      </c>
      <c r="B38" t="s">
        <v>8</v>
      </c>
      <c r="C38" t="s">
        <v>14</v>
      </c>
      <c r="D38" t="s">
        <v>18</v>
      </c>
      <c r="E38">
        <v>3</v>
      </c>
      <c r="F38">
        <v>20729</v>
      </c>
      <c r="G38">
        <v>62187</v>
      </c>
      <c r="H38">
        <f t="shared" si="0"/>
        <v>2025</v>
      </c>
      <c r="I38" t="str">
        <f t="shared" si="1"/>
        <v>Feb</v>
      </c>
      <c r="J38" t="str">
        <f t="shared" si="2"/>
        <v>Thu</v>
      </c>
    </row>
    <row r="39" spans="1:10" x14ac:dyDescent="0.25">
      <c r="A39" s="2">
        <v>45695</v>
      </c>
      <c r="B39" t="s">
        <v>9</v>
      </c>
      <c r="C39" t="s">
        <v>14</v>
      </c>
      <c r="D39" t="s">
        <v>18</v>
      </c>
      <c r="E39">
        <v>7</v>
      </c>
      <c r="F39">
        <v>55017</v>
      </c>
      <c r="G39">
        <v>385119</v>
      </c>
      <c r="H39">
        <f t="shared" si="0"/>
        <v>2025</v>
      </c>
      <c r="I39" t="str">
        <f t="shared" si="1"/>
        <v>Feb</v>
      </c>
      <c r="J39" t="str">
        <f t="shared" si="2"/>
        <v>Fri</v>
      </c>
    </row>
    <row r="40" spans="1:10" x14ac:dyDescent="0.25">
      <c r="A40" s="2">
        <v>45696</v>
      </c>
      <c r="B40" t="s">
        <v>9</v>
      </c>
      <c r="C40" t="s">
        <v>11</v>
      </c>
      <c r="D40" t="s">
        <v>15</v>
      </c>
      <c r="E40">
        <v>16</v>
      </c>
      <c r="F40">
        <v>76320</v>
      </c>
      <c r="G40">
        <v>1221120</v>
      </c>
      <c r="H40">
        <f t="shared" si="0"/>
        <v>2025</v>
      </c>
      <c r="I40" t="str">
        <f t="shared" si="1"/>
        <v>Feb</v>
      </c>
      <c r="J40" t="str">
        <f t="shared" si="2"/>
        <v>Sat</v>
      </c>
    </row>
    <row r="41" spans="1:10" x14ac:dyDescent="0.25">
      <c r="A41" s="2">
        <v>45697</v>
      </c>
      <c r="B41" t="s">
        <v>7</v>
      </c>
      <c r="C41" t="s">
        <v>14</v>
      </c>
      <c r="D41" t="s">
        <v>16</v>
      </c>
      <c r="E41">
        <v>16</v>
      </c>
      <c r="F41">
        <v>37751</v>
      </c>
      <c r="G41">
        <v>604016</v>
      </c>
      <c r="H41">
        <f t="shared" si="0"/>
        <v>2025</v>
      </c>
      <c r="I41" t="str">
        <f t="shared" si="1"/>
        <v>Feb</v>
      </c>
      <c r="J41" t="str">
        <f t="shared" si="2"/>
        <v>Sun</v>
      </c>
    </row>
    <row r="42" spans="1:10" x14ac:dyDescent="0.25">
      <c r="A42" s="2">
        <v>45698</v>
      </c>
      <c r="B42" t="s">
        <v>7</v>
      </c>
      <c r="C42" t="s">
        <v>13</v>
      </c>
      <c r="D42" t="s">
        <v>18</v>
      </c>
      <c r="E42">
        <v>17</v>
      </c>
      <c r="F42">
        <v>88069</v>
      </c>
      <c r="G42">
        <v>1497173</v>
      </c>
      <c r="H42">
        <f t="shared" si="0"/>
        <v>2025</v>
      </c>
      <c r="I42" t="str">
        <f t="shared" si="1"/>
        <v>Feb</v>
      </c>
      <c r="J42" t="str">
        <f t="shared" si="2"/>
        <v>Mon</v>
      </c>
    </row>
    <row r="43" spans="1:10" x14ac:dyDescent="0.25">
      <c r="A43" s="2">
        <v>45699</v>
      </c>
      <c r="B43" t="s">
        <v>7</v>
      </c>
      <c r="C43" t="s">
        <v>14</v>
      </c>
      <c r="D43" t="s">
        <v>15</v>
      </c>
      <c r="E43">
        <v>2</v>
      </c>
      <c r="F43">
        <v>64748</v>
      </c>
      <c r="G43">
        <v>129496</v>
      </c>
      <c r="H43">
        <f t="shared" si="0"/>
        <v>2025</v>
      </c>
      <c r="I43" t="str">
        <f t="shared" si="1"/>
        <v>Feb</v>
      </c>
      <c r="J43" t="str">
        <f t="shared" si="2"/>
        <v>Tue</v>
      </c>
    </row>
    <row r="44" spans="1:10" x14ac:dyDescent="0.25">
      <c r="A44" s="2">
        <v>45700</v>
      </c>
      <c r="B44" t="s">
        <v>10</v>
      </c>
      <c r="C44" t="s">
        <v>13</v>
      </c>
      <c r="D44" t="s">
        <v>16</v>
      </c>
      <c r="E44">
        <v>1</v>
      </c>
      <c r="F44">
        <v>15801</v>
      </c>
      <c r="G44">
        <v>15801</v>
      </c>
      <c r="H44">
        <f t="shared" si="0"/>
        <v>2025</v>
      </c>
      <c r="I44" t="str">
        <f t="shared" si="1"/>
        <v>Feb</v>
      </c>
      <c r="J44" t="str">
        <f t="shared" si="2"/>
        <v>Wed</v>
      </c>
    </row>
    <row r="45" spans="1:10" x14ac:dyDescent="0.25">
      <c r="A45" s="2">
        <v>45701</v>
      </c>
      <c r="B45" t="s">
        <v>8</v>
      </c>
      <c r="C45" t="s">
        <v>13</v>
      </c>
      <c r="D45" t="s">
        <v>17</v>
      </c>
      <c r="E45">
        <v>16</v>
      </c>
      <c r="F45">
        <v>29190</v>
      </c>
      <c r="G45">
        <v>467040</v>
      </c>
      <c r="H45">
        <f t="shared" si="0"/>
        <v>2025</v>
      </c>
      <c r="I45" t="str">
        <f t="shared" si="1"/>
        <v>Feb</v>
      </c>
      <c r="J45" t="str">
        <f t="shared" si="2"/>
        <v>Thu</v>
      </c>
    </row>
    <row r="46" spans="1:10" x14ac:dyDescent="0.25">
      <c r="A46" s="2">
        <v>45702</v>
      </c>
      <c r="B46" t="s">
        <v>8</v>
      </c>
      <c r="C46" t="s">
        <v>13</v>
      </c>
      <c r="D46" t="s">
        <v>15</v>
      </c>
      <c r="E46">
        <v>12</v>
      </c>
      <c r="F46">
        <v>59689</v>
      </c>
      <c r="G46">
        <v>716268</v>
      </c>
      <c r="H46">
        <f t="shared" si="0"/>
        <v>2025</v>
      </c>
      <c r="I46" t="str">
        <f t="shared" si="1"/>
        <v>Feb</v>
      </c>
      <c r="J46" t="str">
        <f t="shared" si="2"/>
        <v>Fri</v>
      </c>
    </row>
    <row r="47" spans="1:10" x14ac:dyDescent="0.25">
      <c r="A47" s="2">
        <v>45703</v>
      </c>
      <c r="B47" t="s">
        <v>8</v>
      </c>
      <c r="C47" t="s">
        <v>11</v>
      </c>
      <c r="D47" t="s">
        <v>18</v>
      </c>
      <c r="E47">
        <v>5</v>
      </c>
      <c r="F47">
        <v>60993</v>
      </c>
      <c r="G47">
        <v>304965</v>
      </c>
      <c r="H47">
        <f t="shared" si="0"/>
        <v>2025</v>
      </c>
      <c r="I47" t="str">
        <f t="shared" si="1"/>
        <v>Feb</v>
      </c>
      <c r="J47" t="str">
        <f t="shared" si="2"/>
        <v>Sat</v>
      </c>
    </row>
    <row r="48" spans="1:10" x14ac:dyDescent="0.25">
      <c r="A48" s="2">
        <v>45704</v>
      </c>
      <c r="B48" t="s">
        <v>8</v>
      </c>
      <c r="C48" t="s">
        <v>11</v>
      </c>
      <c r="D48" t="s">
        <v>17</v>
      </c>
      <c r="E48">
        <v>5</v>
      </c>
      <c r="F48">
        <v>39592</v>
      </c>
      <c r="G48">
        <v>197960</v>
      </c>
      <c r="H48">
        <f t="shared" si="0"/>
        <v>2025</v>
      </c>
      <c r="I48" t="str">
        <f t="shared" si="1"/>
        <v>Feb</v>
      </c>
      <c r="J48" t="str">
        <f t="shared" si="2"/>
        <v>Sun</v>
      </c>
    </row>
    <row r="49" spans="1:10" x14ac:dyDescent="0.25">
      <c r="A49" s="2">
        <v>45705</v>
      </c>
      <c r="B49" t="s">
        <v>7</v>
      </c>
      <c r="C49" t="s">
        <v>11</v>
      </c>
      <c r="D49" t="s">
        <v>17</v>
      </c>
      <c r="E49">
        <v>9</v>
      </c>
      <c r="F49">
        <v>20647</v>
      </c>
      <c r="G49">
        <v>185823</v>
      </c>
      <c r="H49">
        <f t="shared" si="0"/>
        <v>2025</v>
      </c>
      <c r="I49" t="str">
        <f t="shared" si="1"/>
        <v>Feb</v>
      </c>
      <c r="J49" t="str">
        <f t="shared" si="2"/>
        <v>Mon</v>
      </c>
    </row>
    <row r="50" spans="1:10" x14ac:dyDescent="0.25">
      <c r="A50" s="2">
        <v>45706</v>
      </c>
      <c r="B50" t="s">
        <v>10</v>
      </c>
      <c r="C50" t="s">
        <v>14</v>
      </c>
      <c r="D50" t="s">
        <v>17</v>
      </c>
      <c r="E50">
        <v>9</v>
      </c>
      <c r="F50">
        <v>18716</v>
      </c>
      <c r="G50">
        <v>168444</v>
      </c>
      <c r="H50">
        <f t="shared" si="0"/>
        <v>2025</v>
      </c>
      <c r="I50" t="str">
        <f t="shared" si="1"/>
        <v>Feb</v>
      </c>
      <c r="J50" t="str">
        <f t="shared" si="2"/>
        <v>Tue</v>
      </c>
    </row>
    <row r="51" spans="1:10" x14ac:dyDescent="0.25">
      <c r="A51" s="2">
        <v>45707</v>
      </c>
      <c r="B51" t="s">
        <v>10</v>
      </c>
      <c r="C51" t="s">
        <v>13</v>
      </c>
      <c r="D51" t="s">
        <v>15</v>
      </c>
      <c r="E51">
        <v>3</v>
      </c>
      <c r="F51">
        <v>98891</v>
      </c>
      <c r="G51">
        <v>296673</v>
      </c>
      <c r="H51">
        <f t="shared" si="0"/>
        <v>2025</v>
      </c>
      <c r="I51" t="str">
        <f t="shared" si="1"/>
        <v>Feb</v>
      </c>
      <c r="J51" t="str">
        <f t="shared" si="2"/>
        <v>Wed</v>
      </c>
    </row>
    <row r="52" spans="1:10" x14ac:dyDescent="0.25">
      <c r="A52" s="2">
        <v>45708</v>
      </c>
      <c r="B52" t="s">
        <v>7</v>
      </c>
      <c r="C52" t="s">
        <v>11</v>
      </c>
      <c r="D52" t="s">
        <v>18</v>
      </c>
      <c r="E52">
        <v>19</v>
      </c>
      <c r="F52">
        <v>97545</v>
      </c>
      <c r="G52">
        <v>1853355</v>
      </c>
      <c r="H52">
        <f t="shared" si="0"/>
        <v>2025</v>
      </c>
      <c r="I52" t="str">
        <f t="shared" si="1"/>
        <v>Feb</v>
      </c>
      <c r="J52" t="str">
        <f t="shared" si="2"/>
        <v>Thu</v>
      </c>
    </row>
    <row r="53" spans="1:10" x14ac:dyDescent="0.25">
      <c r="A53" s="2">
        <v>45709</v>
      </c>
      <c r="B53" t="s">
        <v>10</v>
      </c>
      <c r="C53" t="s">
        <v>11</v>
      </c>
      <c r="D53" t="s">
        <v>17</v>
      </c>
      <c r="E53">
        <v>16</v>
      </c>
      <c r="F53">
        <v>99912</v>
      </c>
      <c r="G53">
        <v>1598592</v>
      </c>
      <c r="H53">
        <f t="shared" si="0"/>
        <v>2025</v>
      </c>
      <c r="I53" t="str">
        <f t="shared" si="1"/>
        <v>Feb</v>
      </c>
      <c r="J53" t="str">
        <f t="shared" si="2"/>
        <v>Fri</v>
      </c>
    </row>
    <row r="54" spans="1:10" x14ac:dyDescent="0.25">
      <c r="A54" s="2">
        <v>45710</v>
      </c>
      <c r="B54" t="s">
        <v>7</v>
      </c>
      <c r="C54" t="s">
        <v>14</v>
      </c>
      <c r="D54" t="s">
        <v>16</v>
      </c>
      <c r="E54">
        <v>16</v>
      </c>
      <c r="F54">
        <v>80316</v>
      </c>
      <c r="G54">
        <v>1285056</v>
      </c>
      <c r="H54">
        <f t="shared" si="0"/>
        <v>2025</v>
      </c>
      <c r="I54" t="str">
        <f t="shared" si="1"/>
        <v>Feb</v>
      </c>
      <c r="J54" t="str">
        <f t="shared" si="2"/>
        <v>Sat</v>
      </c>
    </row>
    <row r="55" spans="1:10" x14ac:dyDescent="0.25">
      <c r="A55" s="2">
        <v>45711</v>
      </c>
      <c r="B55" t="s">
        <v>8</v>
      </c>
      <c r="C55" t="s">
        <v>11</v>
      </c>
      <c r="D55" t="s">
        <v>17</v>
      </c>
      <c r="E55">
        <v>3</v>
      </c>
      <c r="F55">
        <v>12368</v>
      </c>
      <c r="G55">
        <v>37104</v>
      </c>
      <c r="H55">
        <f t="shared" si="0"/>
        <v>2025</v>
      </c>
      <c r="I55" t="str">
        <f t="shared" si="1"/>
        <v>Feb</v>
      </c>
      <c r="J55" t="str">
        <f t="shared" si="2"/>
        <v>Sun</v>
      </c>
    </row>
    <row r="56" spans="1:10" x14ac:dyDescent="0.25">
      <c r="A56" s="2">
        <v>45712</v>
      </c>
      <c r="B56" t="s">
        <v>7</v>
      </c>
      <c r="C56" t="s">
        <v>14</v>
      </c>
      <c r="D56" t="s">
        <v>17</v>
      </c>
      <c r="E56">
        <v>1</v>
      </c>
      <c r="F56">
        <v>87575</v>
      </c>
      <c r="G56">
        <v>87575</v>
      </c>
      <c r="H56">
        <f t="shared" si="0"/>
        <v>2025</v>
      </c>
      <c r="I56" t="str">
        <f t="shared" si="1"/>
        <v>Feb</v>
      </c>
      <c r="J56" t="str">
        <f t="shared" si="2"/>
        <v>Mon</v>
      </c>
    </row>
    <row r="57" spans="1:10" x14ac:dyDescent="0.25">
      <c r="A57" s="2">
        <v>45713</v>
      </c>
      <c r="B57" t="s">
        <v>8</v>
      </c>
      <c r="C57" t="s">
        <v>12</v>
      </c>
      <c r="D57" t="s">
        <v>15</v>
      </c>
      <c r="E57">
        <v>11</v>
      </c>
      <c r="F57">
        <v>16655</v>
      </c>
      <c r="G57">
        <v>183205</v>
      </c>
      <c r="H57">
        <f t="shared" si="0"/>
        <v>2025</v>
      </c>
      <c r="I57" t="str">
        <f t="shared" si="1"/>
        <v>Feb</v>
      </c>
      <c r="J57" t="str">
        <f t="shared" si="2"/>
        <v>Tue</v>
      </c>
    </row>
    <row r="58" spans="1:10" x14ac:dyDescent="0.25">
      <c r="A58" s="2">
        <v>45714</v>
      </c>
      <c r="B58" t="s">
        <v>8</v>
      </c>
      <c r="C58" t="s">
        <v>11</v>
      </c>
      <c r="D58" t="s">
        <v>15</v>
      </c>
      <c r="E58">
        <v>17</v>
      </c>
      <c r="F58">
        <v>80031</v>
      </c>
      <c r="G58">
        <v>1360527</v>
      </c>
      <c r="H58">
        <f t="shared" si="0"/>
        <v>2025</v>
      </c>
      <c r="I58" t="str">
        <f t="shared" si="1"/>
        <v>Feb</v>
      </c>
      <c r="J58" t="str">
        <f t="shared" si="2"/>
        <v>Wed</v>
      </c>
    </row>
    <row r="59" spans="1:10" x14ac:dyDescent="0.25">
      <c r="A59" s="2">
        <v>45715</v>
      </c>
      <c r="B59" t="s">
        <v>9</v>
      </c>
      <c r="C59" t="s">
        <v>12</v>
      </c>
      <c r="D59" t="s">
        <v>18</v>
      </c>
      <c r="E59">
        <v>8</v>
      </c>
      <c r="F59">
        <v>86429</v>
      </c>
      <c r="G59">
        <v>691432</v>
      </c>
      <c r="H59">
        <f t="shared" si="0"/>
        <v>2025</v>
      </c>
      <c r="I59" t="str">
        <f t="shared" si="1"/>
        <v>Feb</v>
      </c>
      <c r="J59" t="str">
        <f t="shared" si="2"/>
        <v>Thu</v>
      </c>
    </row>
    <row r="60" spans="1:10" x14ac:dyDescent="0.25">
      <c r="A60" s="2">
        <v>45716</v>
      </c>
      <c r="B60" t="s">
        <v>7</v>
      </c>
      <c r="C60" t="s">
        <v>14</v>
      </c>
      <c r="D60" t="s">
        <v>16</v>
      </c>
      <c r="E60">
        <v>4</v>
      </c>
      <c r="F60">
        <v>97922</v>
      </c>
      <c r="G60">
        <v>391688</v>
      </c>
      <c r="H60">
        <f t="shared" si="0"/>
        <v>2025</v>
      </c>
      <c r="I60" t="str">
        <f t="shared" si="1"/>
        <v>Feb</v>
      </c>
      <c r="J60" t="str">
        <f t="shared" si="2"/>
        <v>Fri</v>
      </c>
    </row>
    <row r="61" spans="1:10" x14ac:dyDescent="0.25">
      <c r="A61" s="2">
        <v>45717</v>
      </c>
      <c r="B61" t="s">
        <v>9</v>
      </c>
      <c r="C61" t="s">
        <v>13</v>
      </c>
      <c r="D61" t="s">
        <v>15</v>
      </c>
      <c r="E61">
        <v>6</v>
      </c>
      <c r="F61">
        <v>65766</v>
      </c>
      <c r="G61">
        <v>394596</v>
      </c>
      <c r="H61">
        <f t="shared" si="0"/>
        <v>2025</v>
      </c>
      <c r="I61" t="str">
        <f t="shared" si="1"/>
        <v>Mar</v>
      </c>
      <c r="J61" t="str">
        <f t="shared" si="2"/>
        <v>Sat</v>
      </c>
    </row>
    <row r="62" spans="1:10" x14ac:dyDescent="0.25">
      <c r="A62" s="2">
        <v>45718</v>
      </c>
      <c r="B62" t="s">
        <v>7</v>
      </c>
      <c r="C62" t="s">
        <v>11</v>
      </c>
      <c r="D62" t="s">
        <v>17</v>
      </c>
      <c r="E62">
        <v>8</v>
      </c>
      <c r="F62">
        <v>23403</v>
      </c>
      <c r="G62">
        <v>187224</v>
      </c>
      <c r="H62">
        <f t="shared" si="0"/>
        <v>2025</v>
      </c>
      <c r="I62" t="str">
        <f t="shared" si="1"/>
        <v>Mar</v>
      </c>
      <c r="J62" t="str">
        <f t="shared" si="2"/>
        <v>Sun</v>
      </c>
    </row>
    <row r="63" spans="1:10" x14ac:dyDescent="0.25">
      <c r="A63" s="2">
        <v>45719</v>
      </c>
      <c r="B63" t="s">
        <v>7</v>
      </c>
      <c r="C63" t="s">
        <v>14</v>
      </c>
      <c r="D63" t="s">
        <v>18</v>
      </c>
      <c r="E63">
        <v>3</v>
      </c>
      <c r="F63">
        <v>42097</v>
      </c>
      <c r="G63">
        <v>126291</v>
      </c>
      <c r="H63">
        <f t="shared" si="0"/>
        <v>2025</v>
      </c>
      <c r="I63" t="str">
        <f t="shared" si="1"/>
        <v>Mar</v>
      </c>
      <c r="J63" t="str">
        <f t="shared" si="2"/>
        <v>Mon</v>
      </c>
    </row>
    <row r="64" spans="1:10" x14ac:dyDescent="0.25">
      <c r="A64" s="2">
        <v>45720</v>
      </c>
      <c r="B64" t="s">
        <v>9</v>
      </c>
      <c r="C64" t="s">
        <v>13</v>
      </c>
      <c r="D64" t="s">
        <v>17</v>
      </c>
      <c r="E64">
        <v>16</v>
      </c>
      <c r="F64">
        <v>88657</v>
      </c>
      <c r="G64">
        <v>1418512</v>
      </c>
      <c r="H64">
        <f t="shared" si="0"/>
        <v>2025</v>
      </c>
      <c r="I64" t="str">
        <f t="shared" si="1"/>
        <v>Mar</v>
      </c>
      <c r="J64" t="str">
        <f t="shared" si="2"/>
        <v>Tue</v>
      </c>
    </row>
    <row r="65" spans="1:10" x14ac:dyDescent="0.25">
      <c r="A65" s="2">
        <v>45721</v>
      </c>
      <c r="B65" t="s">
        <v>9</v>
      </c>
      <c r="C65" t="s">
        <v>13</v>
      </c>
      <c r="D65" t="s">
        <v>17</v>
      </c>
      <c r="E65">
        <v>3</v>
      </c>
      <c r="F65">
        <v>20966</v>
      </c>
      <c r="G65">
        <v>62898</v>
      </c>
      <c r="H65">
        <f t="shared" si="0"/>
        <v>2025</v>
      </c>
      <c r="I65" t="str">
        <f t="shared" si="1"/>
        <v>Mar</v>
      </c>
      <c r="J65" t="str">
        <f t="shared" si="2"/>
        <v>Wed</v>
      </c>
    </row>
    <row r="66" spans="1:10" x14ac:dyDescent="0.25">
      <c r="A66" s="2">
        <v>45722</v>
      </c>
      <c r="B66" t="s">
        <v>7</v>
      </c>
      <c r="C66" t="s">
        <v>12</v>
      </c>
      <c r="D66" t="s">
        <v>15</v>
      </c>
      <c r="E66">
        <v>18</v>
      </c>
      <c r="F66">
        <v>62921</v>
      </c>
      <c r="G66">
        <v>1132578</v>
      </c>
      <c r="H66">
        <f t="shared" si="0"/>
        <v>2025</v>
      </c>
      <c r="I66" t="str">
        <f t="shared" si="1"/>
        <v>Mar</v>
      </c>
      <c r="J66" t="str">
        <f t="shared" si="2"/>
        <v>Thu</v>
      </c>
    </row>
    <row r="67" spans="1:10" x14ac:dyDescent="0.25">
      <c r="A67" s="2">
        <v>45723</v>
      </c>
      <c r="B67" t="s">
        <v>10</v>
      </c>
      <c r="C67" t="s">
        <v>14</v>
      </c>
      <c r="D67" t="s">
        <v>18</v>
      </c>
      <c r="E67">
        <v>14</v>
      </c>
      <c r="F67">
        <v>59726</v>
      </c>
      <c r="G67">
        <v>836164</v>
      </c>
      <c r="H67">
        <f t="shared" ref="H67:H101" si="3">YEAR(A67)</f>
        <v>2025</v>
      </c>
      <c r="I67" t="str">
        <f t="shared" ref="I67:I101" si="4">TEXT(A67,"mmm")</f>
        <v>Mar</v>
      </c>
      <c r="J67" t="str">
        <f t="shared" ref="J67:J101" si="5">TEXT(A67,"ddd")</f>
        <v>Fri</v>
      </c>
    </row>
    <row r="68" spans="1:10" x14ac:dyDescent="0.25">
      <c r="A68" s="2">
        <v>45724</v>
      </c>
      <c r="B68" t="s">
        <v>8</v>
      </c>
      <c r="C68" t="s">
        <v>13</v>
      </c>
      <c r="D68" t="s">
        <v>16</v>
      </c>
      <c r="E68">
        <v>18</v>
      </c>
      <c r="F68">
        <v>60300</v>
      </c>
      <c r="G68">
        <v>1085400</v>
      </c>
      <c r="H68">
        <f t="shared" si="3"/>
        <v>2025</v>
      </c>
      <c r="I68" t="str">
        <f t="shared" si="4"/>
        <v>Mar</v>
      </c>
      <c r="J68" t="str">
        <f t="shared" si="5"/>
        <v>Sat</v>
      </c>
    </row>
    <row r="69" spans="1:10" x14ac:dyDescent="0.25">
      <c r="A69" s="2">
        <v>45725</v>
      </c>
      <c r="B69" t="s">
        <v>9</v>
      </c>
      <c r="C69" t="s">
        <v>11</v>
      </c>
      <c r="D69" t="s">
        <v>16</v>
      </c>
      <c r="E69">
        <v>2</v>
      </c>
      <c r="F69">
        <v>32677</v>
      </c>
      <c r="G69">
        <v>65354</v>
      </c>
      <c r="H69">
        <f t="shared" si="3"/>
        <v>2025</v>
      </c>
      <c r="I69" t="str">
        <f t="shared" si="4"/>
        <v>Mar</v>
      </c>
      <c r="J69" t="str">
        <f t="shared" si="5"/>
        <v>Sun</v>
      </c>
    </row>
    <row r="70" spans="1:10" x14ac:dyDescent="0.25">
      <c r="A70" s="2">
        <v>45726</v>
      </c>
      <c r="B70" t="s">
        <v>8</v>
      </c>
      <c r="C70" t="s">
        <v>11</v>
      </c>
      <c r="D70" t="s">
        <v>15</v>
      </c>
      <c r="E70">
        <v>3</v>
      </c>
      <c r="F70">
        <v>65609</v>
      </c>
      <c r="G70">
        <v>196827</v>
      </c>
      <c r="H70">
        <f t="shared" si="3"/>
        <v>2025</v>
      </c>
      <c r="I70" t="str">
        <f t="shared" si="4"/>
        <v>Mar</v>
      </c>
      <c r="J70" t="str">
        <f t="shared" si="5"/>
        <v>Mon</v>
      </c>
    </row>
    <row r="71" spans="1:10" x14ac:dyDescent="0.25">
      <c r="A71" s="2">
        <v>45727</v>
      </c>
      <c r="B71" t="s">
        <v>10</v>
      </c>
      <c r="C71" t="s">
        <v>12</v>
      </c>
      <c r="D71" t="s">
        <v>15</v>
      </c>
      <c r="E71">
        <v>16</v>
      </c>
      <c r="F71">
        <v>66661</v>
      </c>
      <c r="G71">
        <v>1066576</v>
      </c>
      <c r="H71">
        <f t="shared" si="3"/>
        <v>2025</v>
      </c>
      <c r="I71" t="str">
        <f t="shared" si="4"/>
        <v>Mar</v>
      </c>
      <c r="J71" t="str">
        <f t="shared" si="5"/>
        <v>Tue</v>
      </c>
    </row>
    <row r="72" spans="1:10" x14ac:dyDescent="0.25">
      <c r="A72" s="2">
        <v>45728</v>
      </c>
      <c r="B72" t="s">
        <v>10</v>
      </c>
      <c r="C72" t="s">
        <v>13</v>
      </c>
      <c r="D72" t="s">
        <v>18</v>
      </c>
      <c r="E72">
        <v>9</v>
      </c>
      <c r="F72">
        <v>41024</v>
      </c>
      <c r="G72">
        <v>369216</v>
      </c>
      <c r="H72">
        <f t="shared" si="3"/>
        <v>2025</v>
      </c>
      <c r="I72" t="str">
        <f t="shared" si="4"/>
        <v>Mar</v>
      </c>
      <c r="J72" t="str">
        <f t="shared" si="5"/>
        <v>Wed</v>
      </c>
    </row>
    <row r="73" spans="1:10" x14ac:dyDescent="0.25">
      <c r="A73" s="2">
        <v>45729</v>
      </c>
      <c r="B73" t="s">
        <v>10</v>
      </c>
      <c r="C73" t="s">
        <v>14</v>
      </c>
      <c r="D73" t="s">
        <v>16</v>
      </c>
      <c r="E73">
        <v>4</v>
      </c>
      <c r="F73">
        <v>80313</v>
      </c>
      <c r="G73">
        <v>321252</v>
      </c>
      <c r="H73">
        <f t="shared" si="3"/>
        <v>2025</v>
      </c>
      <c r="I73" t="str">
        <f t="shared" si="4"/>
        <v>Mar</v>
      </c>
      <c r="J73" t="str">
        <f t="shared" si="5"/>
        <v>Thu</v>
      </c>
    </row>
    <row r="74" spans="1:10" x14ac:dyDescent="0.25">
      <c r="A74" s="2">
        <v>45730</v>
      </c>
      <c r="B74" t="s">
        <v>9</v>
      </c>
      <c r="C74" t="s">
        <v>11</v>
      </c>
      <c r="D74" t="s">
        <v>16</v>
      </c>
      <c r="E74">
        <v>1</v>
      </c>
      <c r="F74">
        <v>63006</v>
      </c>
      <c r="G74">
        <v>63006</v>
      </c>
      <c r="H74">
        <f t="shared" si="3"/>
        <v>2025</v>
      </c>
      <c r="I74" t="str">
        <f t="shared" si="4"/>
        <v>Mar</v>
      </c>
      <c r="J74" t="str">
        <f t="shared" si="5"/>
        <v>Fri</v>
      </c>
    </row>
    <row r="75" spans="1:10" x14ac:dyDescent="0.25">
      <c r="A75" s="2">
        <v>45731</v>
      </c>
      <c r="B75" t="s">
        <v>10</v>
      </c>
      <c r="C75" t="s">
        <v>13</v>
      </c>
      <c r="D75" t="s">
        <v>16</v>
      </c>
      <c r="E75">
        <v>4</v>
      </c>
      <c r="F75">
        <v>25338</v>
      </c>
      <c r="G75">
        <v>101352</v>
      </c>
      <c r="H75">
        <f t="shared" si="3"/>
        <v>2025</v>
      </c>
      <c r="I75" t="str">
        <f t="shared" si="4"/>
        <v>Mar</v>
      </c>
      <c r="J75" t="str">
        <f t="shared" si="5"/>
        <v>Sat</v>
      </c>
    </row>
    <row r="76" spans="1:10" x14ac:dyDescent="0.25">
      <c r="A76" s="2">
        <v>45732</v>
      </c>
      <c r="B76" t="s">
        <v>9</v>
      </c>
      <c r="C76" t="s">
        <v>13</v>
      </c>
      <c r="D76" t="s">
        <v>17</v>
      </c>
      <c r="E76">
        <v>1</v>
      </c>
      <c r="F76">
        <v>78027</v>
      </c>
      <c r="G76">
        <v>78027</v>
      </c>
      <c r="H76">
        <f t="shared" si="3"/>
        <v>2025</v>
      </c>
      <c r="I76" t="str">
        <f t="shared" si="4"/>
        <v>Mar</v>
      </c>
      <c r="J76" t="str">
        <f t="shared" si="5"/>
        <v>Sun</v>
      </c>
    </row>
    <row r="77" spans="1:10" x14ac:dyDescent="0.25">
      <c r="A77" s="2">
        <v>45733</v>
      </c>
      <c r="B77" t="s">
        <v>10</v>
      </c>
      <c r="C77" t="s">
        <v>12</v>
      </c>
      <c r="D77" t="s">
        <v>16</v>
      </c>
      <c r="E77">
        <v>14</v>
      </c>
      <c r="F77">
        <v>90135</v>
      </c>
      <c r="G77">
        <v>1261890</v>
      </c>
      <c r="H77">
        <f t="shared" si="3"/>
        <v>2025</v>
      </c>
      <c r="I77" t="str">
        <f t="shared" si="4"/>
        <v>Mar</v>
      </c>
      <c r="J77" t="str">
        <f t="shared" si="5"/>
        <v>Mon</v>
      </c>
    </row>
    <row r="78" spans="1:10" x14ac:dyDescent="0.25">
      <c r="A78" s="2">
        <v>45734</v>
      </c>
      <c r="B78" t="s">
        <v>8</v>
      </c>
      <c r="C78" t="s">
        <v>11</v>
      </c>
      <c r="D78" t="s">
        <v>17</v>
      </c>
      <c r="E78">
        <v>16</v>
      </c>
      <c r="F78">
        <v>29508</v>
      </c>
      <c r="G78">
        <v>472128</v>
      </c>
      <c r="H78">
        <f t="shared" si="3"/>
        <v>2025</v>
      </c>
      <c r="I78" t="str">
        <f t="shared" si="4"/>
        <v>Mar</v>
      </c>
      <c r="J78" t="str">
        <f t="shared" si="5"/>
        <v>Tue</v>
      </c>
    </row>
    <row r="79" spans="1:10" x14ac:dyDescent="0.25">
      <c r="A79" s="2">
        <v>45735</v>
      </c>
      <c r="B79" t="s">
        <v>8</v>
      </c>
      <c r="C79" t="s">
        <v>11</v>
      </c>
      <c r="D79" t="s">
        <v>18</v>
      </c>
      <c r="E79">
        <v>8</v>
      </c>
      <c r="F79">
        <v>13051</v>
      </c>
      <c r="G79">
        <v>104408</v>
      </c>
      <c r="H79">
        <f t="shared" si="3"/>
        <v>2025</v>
      </c>
      <c r="I79" t="str">
        <f t="shared" si="4"/>
        <v>Mar</v>
      </c>
      <c r="J79" t="str">
        <f t="shared" si="5"/>
        <v>Wed</v>
      </c>
    </row>
    <row r="80" spans="1:10" x14ac:dyDescent="0.25">
      <c r="A80" s="2">
        <v>45736</v>
      </c>
      <c r="B80" t="s">
        <v>7</v>
      </c>
      <c r="C80" t="s">
        <v>14</v>
      </c>
      <c r="D80" t="s">
        <v>17</v>
      </c>
      <c r="E80">
        <v>7</v>
      </c>
      <c r="F80">
        <v>58747</v>
      </c>
      <c r="G80">
        <v>411229</v>
      </c>
      <c r="H80">
        <f t="shared" si="3"/>
        <v>2025</v>
      </c>
      <c r="I80" t="str">
        <f t="shared" si="4"/>
        <v>Mar</v>
      </c>
      <c r="J80" t="str">
        <f t="shared" si="5"/>
        <v>Thu</v>
      </c>
    </row>
    <row r="81" spans="1:10" x14ac:dyDescent="0.25">
      <c r="A81" s="2">
        <v>45737</v>
      </c>
      <c r="B81" t="s">
        <v>8</v>
      </c>
      <c r="C81" t="s">
        <v>11</v>
      </c>
      <c r="D81" t="s">
        <v>18</v>
      </c>
      <c r="E81">
        <v>3</v>
      </c>
      <c r="F81">
        <v>97142</v>
      </c>
      <c r="G81">
        <v>291426</v>
      </c>
      <c r="H81">
        <f t="shared" si="3"/>
        <v>2025</v>
      </c>
      <c r="I81" t="str">
        <f t="shared" si="4"/>
        <v>Mar</v>
      </c>
      <c r="J81" t="str">
        <f t="shared" si="5"/>
        <v>Fri</v>
      </c>
    </row>
    <row r="82" spans="1:10" x14ac:dyDescent="0.25">
      <c r="A82" s="2">
        <v>45738</v>
      </c>
      <c r="B82" t="s">
        <v>7</v>
      </c>
      <c r="C82" t="s">
        <v>14</v>
      </c>
      <c r="D82" t="s">
        <v>16</v>
      </c>
      <c r="E82">
        <v>17</v>
      </c>
      <c r="F82">
        <v>97235</v>
      </c>
      <c r="G82">
        <v>1652995</v>
      </c>
      <c r="H82">
        <f t="shared" si="3"/>
        <v>2025</v>
      </c>
      <c r="I82" t="str">
        <f t="shared" si="4"/>
        <v>Mar</v>
      </c>
      <c r="J82" t="str">
        <f t="shared" si="5"/>
        <v>Sat</v>
      </c>
    </row>
    <row r="83" spans="1:10" x14ac:dyDescent="0.25">
      <c r="A83" s="2">
        <v>45739</v>
      </c>
      <c r="B83" t="s">
        <v>8</v>
      </c>
      <c r="C83" t="s">
        <v>11</v>
      </c>
      <c r="D83" t="s">
        <v>16</v>
      </c>
      <c r="E83">
        <v>1</v>
      </c>
      <c r="F83">
        <v>64021</v>
      </c>
      <c r="G83">
        <v>64021</v>
      </c>
      <c r="H83">
        <f t="shared" si="3"/>
        <v>2025</v>
      </c>
      <c r="I83" t="str">
        <f t="shared" si="4"/>
        <v>Mar</v>
      </c>
      <c r="J83" t="str">
        <f t="shared" si="5"/>
        <v>Sun</v>
      </c>
    </row>
    <row r="84" spans="1:10" x14ac:dyDescent="0.25">
      <c r="A84" s="2">
        <v>45740</v>
      </c>
      <c r="B84" t="s">
        <v>9</v>
      </c>
      <c r="C84" t="s">
        <v>12</v>
      </c>
      <c r="D84" t="s">
        <v>18</v>
      </c>
      <c r="E84">
        <v>16</v>
      </c>
      <c r="F84">
        <v>76412</v>
      </c>
      <c r="G84">
        <v>1222592</v>
      </c>
      <c r="H84">
        <f t="shared" si="3"/>
        <v>2025</v>
      </c>
      <c r="I84" t="str">
        <f t="shared" si="4"/>
        <v>Mar</v>
      </c>
      <c r="J84" t="str">
        <f t="shared" si="5"/>
        <v>Mon</v>
      </c>
    </row>
    <row r="85" spans="1:10" x14ac:dyDescent="0.25">
      <c r="A85" s="2">
        <v>45741</v>
      </c>
      <c r="B85" t="s">
        <v>8</v>
      </c>
      <c r="C85" t="s">
        <v>11</v>
      </c>
      <c r="D85" t="s">
        <v>15</v>
      </c>
      <c r="E85">
        <v>12</v>
      </c>
      <c r="F85">
        <v>68335</v>
      </c>
      <c r="G85">
        <v>820020</v>
      </c>
      <c r="H85">
        <f t="shared" si="3"/>
        <v>2025</v>
      </c>
      <c r="I85" t="str">
        <f t="shared" si="4"/>
        <v>Mar</v>
      </c>
      <c r="J85" t="str">
        <f t="shared" si="5"/>
        <v>Tue</v>
      </c>
    </row>
    <row r="86" spans="1:10" x14ac:dyDescent="0.25">
      <c r="A86" s="2">
        <v>45742</v>
      </c>
      <c r="B86" t="s">
        <v>7</v>
      </c>
      <c r="C86" t="s">
        <v>14</v>
      </c>
      <c r="D86" t="s">
        <v>18</v>
      </c>
      <c r="E86">
        <v>19</v>
      </c>
      <c r="F86">
        <v>66179</v>
      </c>
      <c r="G86">
        <v>1257401</v>
      </c>
      <c r="H86">
        <f t="shared" si="3"/>
        <v>2025</v>
      </c>
      <c r="I86" t="str">
        <f t="shared" si="4"/>
        <v>Mar</v>
      </c>
      <c r="J86" t="str">
        <f t="shared" si="5"/>
        <v>Wed</v>
      </c>
    </row>
    <row r="87" spans="1:10" x14ac:dyDescent="0.25">
      <c r="A87" s="2">
        <v>45743</v>
      </c>
      <c r="B87" t="s">
        <v>7</v>
      </c>
      <c r="C87" t="s">
        <v>14</v>
      </c>
      <c r="D87" t="s">
        <v>15</v>
      </c>
      <c r="E87">
        <v>14</v>
      </c>
      <c r="F87">
        <v>42093</v>
      </c>
      <c r="G87">
        <v>589302</v>
      </c>
      <c r="H87">
        <f t="shared" si="3"/>
        <v>2025</v>
      </c>
      <c r="I87" t="str">
        <f t="shared" si="4"/>
        <v>Mar</v>
      </c>
      <c r="J87" t="str">
        <f t="shared" si="5"/>
        <v>Thu</v>
      </c>
    </row>
    <row r="88" spans="1:10" x14ac:dyDescent="0.25">
      <c r="A88" s="2">
        <v>45744</v>
      </c>
      <c r="B88" t="s">
        <v>10</v>
      </c>
      <c r="C88" t="s">
        <v>12</v>
      </c>
      <c r="D88" t="s">
        <v>17</v>
      </c>
      <c r="E88">
        <v>6</v>
      </c>
      <c r="F88">
        <v>79678</v>
      </c>
      <c r="G88">
        <v>478068</v>
      </c>
      <c r="H88">
        <f t="shared" si="3"/>
        <v>2025</v>
      </c>
      <c r="I88" t="str">
        <f t="shared" si="4"/>
        <v>Mar</v>
      </c>
      <c r="J88" t="str">
        <f t="shared" si="5"/>
        <v>Fri</v>
      </c>
    </row>
    <row r="89" spans="1:10" x14ac:dyDescent="0.25">
      <c r="A89" s="2">
        <v>45745</v>
      </c>
      <c r="B89" t="s">
        <v>9</v>
      </c>
      <c r="C89" t="s">
        <v>11</v>
      </c>
      <c r="D89" t="s">
        <v>17</v>
      </c>
      <c r="E89">
        <v>6</v>
      </c>
      <c r="F89">
        <v>90738</v>
      </c>
      <c r="G89">
        <v>544428</v>
      </c>
      <c r="H89">
        <f t="shared" si="3"/>
        <v>2025</v>
      </c>
      <c r="I89" t="str">
        <f t="shared" si="4"/>
        <v>Mar</v>
      </c>
      <c r="J89" t="str">
        <f t="shared" si="5"/>
        <v>Sat</v>
      </c>
    </row>
    <row r="90" spans="1:10" x14ac:dyDescent="0.25">
      <c r="A90" s="2">
        <v>45746</v>
      </c>
      <c r="B90" t="s">
        <v>8</v>
      </c>
      <c r="C90" t="s">
        <v>11</v>
      </c>
      <c r="D90" t="s">
        <v>17</v>
      </c>
      <c r="E90">
        <v>13</v>
      </c>
      <c r="F90">
        <v>49734</v>
      </c>
      <c r="G90">
        <v>646542</v>
      </c>
      <c r="H90">
        <f t="shared" si="3"/>
        <v>2025</v>
      </c>
      <c r="I90" t="str">
        <f t="shared" si="4"/>
        <v>Mar</v>
      </c>
      <c r="J90" t="str">
        <f t="shared" si="5"/>
        <v>Sun</v>
      </c>
    </row>
    <row r="91" spans="1:10" x14ac:dyDescent="0.25">
      <c r="A91" s="2">
        <v>45747</v>
      </c>
      <c r="B91" t="s">
        <v>10</v>
      </c>
      <c r="C91" t="s">
        <v>12</v>
      </c>
      <c r="D91" t="s">
        <v>16</v>
      </c>
      <c r="E91">
        <v>19</v>
      </c>
      <c r="F91">
        <v>82615</v>
      </c>
      <c r="G91">
        <v>1569685</v>
      </c>
      <c r="H91">
        <f t="shared" si="3"/>
        <v>2025</v>
      </c>
      <c r="I91" t="str">
        <f t="shared" si="4"/>
        <v>Mar</v>
      </c>
      <c r="J91" t="str">
        <f t="shared" si="5"/>
        <v>Mon</v>
      </c>
    </row>
    <row r="92" spans="1:10" x14ac:dyDescent="0.25">
      <c r="A92" s="2">
        <v>45748</v>
      </c>
      <c r="B92" t="s">
        <v>8</v>
      </c>
      <c r="C92" t="s">
        <v>11</v>
      </c>
      <c r="D92" t="s">
        <v>17</v>
      </c>
      <c r="E92">
        <v>8</v>
      </c>
      <c r="F92">
        <v>83523</v>
      </c>
      <c r="G92">
        <v>668184</v>
      </c>
      <c r="H92">
        <f t="shared" si="3"/>
        <v>2025</v>
      </c>
      <c r="I92" t="str">
        <f t="shared" si="4"/>
        <v>Apr</v>
      </c>
      <c r="J92" t="str">
        <f t="shared" si="5"/>
        <v>Tue</v>
      </c>
    </row>
    <row r="93" spans="1:10" x14ac:dyDescent="0.25">
      <c r="A93" s="2">
        <v>45749</v>
      </c>
      <c r="B93" t="s">
        <v>8</v>
      </c>
      <c r="C93" t="s">
        <v>11</v>
      </c>
      <c r="D93" t="s">
        <v>15</v>
      </c>
      <c r="E93">
        <v>2</v>
      </c>
      <c r="F93">
        <v>27019</v>
      </c>
      <c r="G93">
        <v>54038</v>
      </c>
      <c r="H93">
        <f t="shared" si="3"/>
        <v>2025</v>
      </c>
      <c r="I93" t="str">
        <f t="shared" si="4"/>
        <v>Apr</v>
      </c>
      <c r="J93" t="str">
        <f t="shared" si="5"/>
        <v>Wed</v>
      </c>
    </row>
    <row r="94" spans="1:10" x14ac:dyDescent="0.25">
      <c r="A94" s="2">
        <v>45750</v>
      </c>
      <c r="B94" t="s">
        <v>10</v>
      </c>
      <c r="C94" t="s">
        <v>14</v>
      </c>
      <c r="D94" t="s">
        <v>17</v>
      </c>
      <c r="E94">
        <v>1</v>
      </c>
      <c r="F94">
        <v>93613</v>
      </c>
      <c r="G94">
        <v>93613</v>
      </c>
      <c r="H94">
        <f t="shared" si="3"/>
        <v>2025</v>
      </c>
      <c r="I94" t="str">
        <f t="shared" si="4"/>
        <v>Apr</v>
      </c>
      <c r="J94" t="str">
        <f t="shared" si="5"/>
        <v>Thu</v>
      </c>
    </row>
    <row r="95" spans="1:10" x14ac:dyDescent="0.25">
      <c r="A95" s="2">
        <v>45751</v>
      </c>
      <c r="B95" t="s">
        <v>10</v>
      </c>
      <c r="C95" t="s">
        <v>11</v>
      </c>
      <c r="D95" t="s">
        <v>18</v>
      </c>
      <c r="E95">
        <v>15</v>
      </c>
      <c r="F95">
        <v>96672</v>
      </c>
      <c r="G95">
        <v>1450080</v>
      </c>
      <c r="H95">
        <f t="shared" si="3"/>
        <v>2025</v>
      </c>
      <c r="I95" t="str">
        <f t="shared" si="4"/>
        <v>Apr</v>
      </c>
      <c r="J95" t="str">
        <f t="shared" si="5"/>
        <v>Fri</v>
      </c>
    </row>
    <row r="96" spans="1:10" x14ac:dyDescent="0.25">
      <c r="A96" s="2">
        <v>45752</v>
      </c>
      <c r="B96" t="s">
        <v>10</v>
      </c>
      <c r="C96" t="s">
        <v>11</v>
      </c>
      <c r="D96" t="s">
        <v>18</v>
      </c>
      <c r="E96">
        <v>1</v>
      </c>
      <c r="F96">
        <v>83847</v>
      </c>
      <c r="G96">
        <v>83847</v>
      </c>
      <c r="H96">
        <f t="shared" si="3"/>
        <v>2025</v>
      </c>
      <c r="I96" t="str">
        <f t="shared" si="4"/>
        <v>Apr</v>
      </c>
      <c r="J96" t="str">
        <f t="shared" si="5"/>
        <v>Sat</v>
      </c>
    </row>
    <row r="97" spans="1:10" x14ac:dyDescent="0.25">
      <c r="A97" s="2">
        <v>45753</v>
      </c>
      <c r="B97" t="s">
        <v>10</v>
      </c>
      <c r="C97" t="s">
        <v>12</v>
      </c>
      <c r="D97" t="s">
        <v>16</v>
      </c>
      <c r="E97">
        <v>5</v>
      </c>
      <c r="F97">
        <v>92750</v>
      </c>
      <c r="G97">
        <v>463750</v>
      </c>
      <c r="H97">
        <f t="shared" si="3"/>
        <v>2025</v>
      </c>
      <c r="I97" t="str">
        <f t="shared" si="4"/>
        <v>Apr</v>
      </c>
      <c r="J97" t="str">
        <f t="shared" si="5"/>
        <v>Sun</v>
      </c>
    </row>
    <row r="98" spans="1:10" x14ac:dyDescent="0.25">
      <c r="A98" s="2">
        <v>45754</v>
      </c>
      <c r="B98" t="s">
        <v>10</v>
      </c>
      <c r="C98" t="s">
        <v>12</v>
      </c>
      <c r="D98" t="s">
        <v>18</v>
      </c>
      <c r="E98">
        <v>16</v>
      </c>
      <c r="F98">
        <v>89634</v>
      </c>
      <c r="G98">
        <v>1434144</v>
      </c>
      <c r="H98">
        <f t="shared" si="3"/>
        <v>2025</v>
      </c>
      <c r="I98" t="str">
        <f t="shared" si="4"/>
        <v>Apr</v>
      </c>
      <c r="J98" t="str">
        <f t="shared" si="5"/>
        <v>Mon</v>
      </c>
    </row>
    <row r="99" spans="1:10" x14ac:dyDescent="0.25">
      <c r="A99" s="2">
        <v>45755</v>
      </c>
      <c r="B99" t="s">
        <v>8</v>
      </c>
      <c r="C99" t="s">
        <v>13</v>
      </c>
      <c r="D99" t="s">
        <v>15</v>
      </c>
      <c r="E99">
        <v>19</v>
      </c>
      <c r="F99">
        <v>38251</v>
      </c>
      <c r="G99">
        <v>726769</v>
      </c>
      <c r="H99">
        <f t="shared" si="3"/>
        <v>2025</v>
      </c>
      <c r="I99" t="str">
        <f t="shared" si="4"/>
        <v>Apr</v>
      </c>
      <c r="J99" t="str">
        <f t="shared" si="5"/>
        <v>Tue</v>
      </c>
    </row>
    <row r="100" spans="1:10" x14ac:dyDescent="0.25">
      <c r="A100" s="2">
        <v>45756</v>
      </c>
      <c r="B100" t="s">
        <v>10</v>
      </c>
      <c r="C100" t="s">
        <v>14</v>
      </c>
      <c r="D100" t="s">
        <v>17</v>
      </c>
      <c r="E100">
        <v>4</v>
      </c>
      <c r="F100">
        <v>35945</v>
      </c>
      <c r="G100">
        <v>143780</v>
      </c>
      <c r="H100">
        <f t="shared" si="3"/>
        <v>2025</v>
      </c>
      <c r="I100" t="str">
        <f t="shared" si="4"/>
        <v>Apr</v>
      </c>
      <c r="J100" t="str">
        <f t="shared" si="5"/>
        <v>Wed</v>
      </c>
    </row>
    <row r="101" spans="1:10" x14ac:dyDescent="0.25">
      <c r="A101" s="2">
        <v>45757</v>
      </c>
      <c r="B101" t="s">
        <v>9</v>
      </c>
      <c r="C101" t="s">
        <v>11</v>
      </c>
      <c r="D101" t="s">
        <v>16</v>
      </c>
      <c r="E101">
        <v>3</v>
      </c>
      <c r="F101">
        <v>42217</v>
      </c>
      <c r="G101">
        <v>126651</v>
      </c>
      <c r="H101">
        <f t="shared" si="3"/>
        <v>2025</v>
      </c>
      <c r="I101" t="str">
        <f t="shared" si="4"/>
        <v>Apr</v>
      </c>
      <c r="J101" t="str">
        <f t="shared" si="5"/>
        <v>Thu</v>
      </c>
    </row>
  </sheetData>
  <phoneticPr fontId="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 (2)</vt:lpstr>
      <vt:lpstr>Pivot table</vt:lpstr>
      <vt:lpstr>Dashboard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muuo</dc:creator>
  <cp:lastModifiedBy>BEN1</cp:lastModifiedBy>
  <dcterms:created xsi:type="dcterms:W3CDTF">2025-06-25T09:42:12Z</dcterms:created>
  <dcterms:modified xsi:type="dcterms:W3CDTF">2025-09-01T23:37:04Z</dcterms:modified>
</cp:coreProperties>
</file>